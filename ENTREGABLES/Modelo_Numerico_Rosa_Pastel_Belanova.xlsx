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terpolacion" sheetId="2" state="visible" r:id="rId2"/>
    <sheet xmlns:r="http://schemas.openxmlformats.org/officeDocument/2006/relationships" name="Biseccion" sheetId="3" state="visible" r:id="rId3"/>
    <sheet xmlns:r="http://schemas.openxmlformats.org/officeDocument/2006/relationships" name="Newt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20" customWidth="1" min="5" max="5"/>
  </cols>
  <sheetData>
    <row r="1">
      <c r="A1" s="1" t="inlineStr">
        <is>
          <t>Reproducciones semanales de 'Rosa Pastel' en Spotify México (kworb.net)</t>
        </is>
      </c>
    </row>
    <row r="3">
      <c r="A3" s="2" t="inlineStr">
        <is>
          <t>t (semana)</t>
        </is>
      </c>
      <c r="B3" s="2" t="inlineStr">
        <is>
          <t>Fecha</t>
        </is>
      </c>
      <c r="C3" s="2" t="inlineStr">
        <is>
          <t>Reproducciones</t>
        </is>
      </c>
      <c r="D3" s="2" t="inlineStr">
        <is>
          <t>Millones</t>
        </is>
      </c>
      <c r="E3" s="2" t="inlineStr">
        <is>
          <t>Acumulado S(t) (M)</t>
        </is>
      </c>
    </row>
    <row r="4">
      <c r="A4" t="n">
        <v>0</v>
      </c>
      <c r="B4" t="inlineStr">
        <is>
          <t>2023-01-26</t>
        </is>
      </c>
      <c r="C4" t="n">
        <v>1137349</v>
      </c>
      <c r="D4">
        <f>C4/1000000</f>
        <v/>
      </c>
      <c r="E4">
        <f>D4</f>
        <v/>
      </c>
    </row>
    <row r="5">
      <c r="A5" t="n">
        <v>1</v>
      </c>
      <c r="B5" t="inlineStr">
        <is>
          <t>2023-02-02</t>
        </is>
      </c>
      <c r="C5" t="n">
        <v>1445318</v>
      </c>
      <c r="D5">
        <f>C5/1000000</f>
        <v/>
      </c>
      <c r="E5">
        <f>E4+D5</f>
        <v/>
      </c>
    </row>
    <row r="6">
      <c r="A6" t="n">
        <v>2</v>
      </c>
      <c r="B6" t="inlineStr">
        <is>
          <t>2023-02-09</t>
        </is>
      </c>
      <c r="C6" t="n">
        <v>1417458</v>
      </c>
      <c r="D6">
        <f>C6/1000000</f>
        <v/>
      </c>
      <c r="E6">
        <f>E5+D6</f>
        <v/>
      </c>
    </row>
    <row r="7">
      <c r="A7" t="n">
        <v>3</v>
      </c>
      <c r="B7" t="inlineStr">
        <is>
          <t>2023-02-16</t>
        </is>
      </c>
      <c r="C7" t="n">
        <v>1667194</v>
      </c>
      <c r="D7">
        <f>C7/1000000</f>
        <v/>
      </c>
      <c r="E7">
        <f>E6+D7</f>
        <v/>
      </c>
    </row>
    <row r="8">
      <c r="A8" t="n">
        <v>4</v>
      </c>
      <c r="B8" t="inlineStr">
        <is>
          <t>2023-02-23</t>
        </is>
      </c>
      <c r="C8" t="n">
        <v>1778948</v>
      </c>
      <c r="D8">
        <f>C8/1000000</f>
        <v/>
      </c>
      <c r="E8">
        <f>E7+D8</f>
        <v/>
      </c>
    </row>
    <row r="9">
      <c r="A9" t="n">
        <v>5</v>
      </c>
      <c r="B9" t="inlineStr">
        <is>
          <t>2023-03-02</t>
        </is>
      </c>
      <c r="C9" t="n">
        <v>1889805</v>
      </c>
      <c r="D9">
        <f>C9/1000000</f>
        <v/>
      </c>
      <c r="E9">
        <f>E8+D9</f>
        <v/>
      </c>
    </row>
    <row r="10">
      <c r="A10" t="n">
        <v>6</v>
      </c>
      <c r="B10" t="inlineStr">
        <is>
          <t>2023-03-09</t>
        </is>
      </c>
      <c r="C10" t="n">
        <v>1954026</v>
      </c>
      <c r="D10">
        <f>C10/1000000</f>
        <v/>
      </c>
      <c r="E10">
        <f>E9+D10</f>
        <v/>
      </c>
    </row>
    <row r="11">
      <c r="A11" t="n">
        <v>7</v>
      </c>
      <c r="B11" t="inlineStr">
        <is>
          <t>2023-03-16</t>
        </is>
      </c>
      <c r="C11" t="n">
        <v>2169923</v>
      </c>
      <c r="D11">
        <f>C11/1000000</f>
        <v/>
      </c>
      <c r="E11">
        <f>E10+D11</f>
        <v/>
      </c>
    </row>
    <row r="12">
      <c r="A12" t="n">
        <v>8</v>
      </c>
      <c r="B12" t="inlineStr">
        <is>
          <t>2023-03-23</t>
        </is>
      </c>
      <c r="C12" t="n">
        <v>2635047</v>
      </c>
      <c r="D12">
        <f>C12/1000000</f>
        <v/>
      </c>
      <c r="E12">
        <f>E11+D12</f>
        <v/>
      </c>
    </row>
    <row r="13">
      <c r="A13" t="n">
        <v>9</v>
      </c>
      <c r="B13" t="inlineStr">
        <is>
          <t>2023-03-30</t>
        </is>
      </c>
      <c r="C13" t="n">
        <v>2788541</v>
      </c>
      <c r="D13">
        <f>C13/1000000</f>
        <v/>
      </c>
      <c r="E13">
        <f>E12+D13</f>
        <v/>
      </c>
    </row>
    <row r="14">
      <c r="A14" t="n">
        <v>10</v>
      </c>
      <c r="B14" t="inlineStr">
        <is>
          <t>2023-04-06</t>
        </is>
      </c>
      <c r="C14" t="n">
        <v>2564692</v>
      </c>
      <c r="D14">
        <f>C14/1000000</f>
        <v/>
      </c>
      <c r="E14">
        <f>E13+D14</f>
        <v/>
      </c>
    </row>
    <row r="15">
      <c r="A15" t="n">
        <v>11</v>
      </c>
      <c r="B15" t="inlineStr">
        <is>
          <t>2023-04-13</t>
        </is>
      </c>
      <c r="C15" t="n">
        <v>2148814</v>
      </c>
      <c r="D15">
        <f>C15/1000000</f>
        <v/>
      </c>
      <c r="E15">
        <f>E14+D15</f>
        <v/>
      </c>
    </row>
    <row r="16">
      <c r="A16" t="n">
        <v>12</v>
      </c>
      <c r="B16" t="inlineStr">
        <is>
          <t>2023-04-20</t>
        </is>
      </c>
      <c r="C16" t="n">
        <v>2221385</v>
      </c>
      <c r="D16">
        <f>C16/1000000</f>
        <v/>
      </c>
      <c r="E16">
        <f>E15+D16</f>
        <v/>
      </c>
    </row>
    <row r="17">
      <c r="A17" t="n">
        <v>13</v>
      </c>
      <c r="B17" t="inlineStr">
        <is>
          <t>2023-04-27</t>
        </is>
      </c>
      <c r="C17" t="n">
        <v>2368056</v>
      </c>
      <c r="D17">
        <f>C17/1000000</f>
        <v/>
      </c>
      <c r="E17">
        <f>E16+D17</f>
        <v/>
      </c>
    </row>
    <row r="18">
      <c r="A18" t="n">
        <v>14</v>
      </c>
      <c r="B18" t="inlineStr">
        <is>
          <t>2023-05-04</t>
        </is>
      </c>
      <c r="C18" t="n">
        <v>2217941</v>
      </c>
      <c r="D18">
        <f>C18/1000000</f>
        <v/>
      </c>
      <c r="E18">
        <f>E17+D18</f>
        <v/>
      </c>
    </row>
    <row r="19">
      <c r="A19" t="n">
        <v>15</v>
      </c>
      <c r="B19" t="inlineStr">
        <is>
          <t>2023-05-11</t>
        </is>
      </c>
      <c r="C19" t="n">
        <v>2277461</v>
      </c>
      <c r="D19">
        <f>C19/1000000</f>
        <v/>
      </c>
      <c r="E19">
        <f>E18+D19</f>
        <v/>
      </c>
    </row>
    <row r="20">
      <c r="A20" t="n">
        <v>16</v>
      </c>
      <c r="B20" t="inlineStr">
        <is>
          <t>2023-05-18</t>
        </is>
      </c>
      <c r="C20" t="n">
        <v>2647092</v>
      </c>
      <c r="D20">
        <f>C20/1000000</f>
        <v/>
      </c>
      <c r="E20">
        <f>E19+D20</f>
        <v/>
      </c>
    </row>
    <row r="21">
      <c r="A21" t="n">
        <v>17</v>
      </c>
      <c r="B21" t="inlineStr">
        <is>
          <t>2023-05-25</t>
        </is>
      </c>
      <c r="C21" t="n">
        <v>2617613</v>
      </c>
      <c r="D21">
        <f>C21/1000000</f>
        <v/>
      </c>
      <c r="E21">
        <f>E20+D21</f>
        <v/>
      </c>
    </row>
    <row r="22">
      <c r="A22" t="n">
        <v>18</v>
      </c>
      <c r="B22" t="inlineStr">
        <is>
          <t>2023-06-01</t>
        </is>
      </c>
      <c r="C22" t="n">
        <v>2842061</v>
      </c>
      <c r="D22">
        <f>C22/1000000</f>
        <v/>
      </c>
      <c r="E22">
        <f>E21+D22</f>
        <v/>
      </c>
    </row>
    <row r="23">
      <c r="A23" t="n">
        <v>19</v>
      </c>
      <c r="B23" t="inlineStr">
        <is>
          <t>2023-06-08</t>
        </is>
      </c>
      <c r="C23" t="n">
        <v>2899192</v>
      </c>
      <c r="D23">
        <f>C23/1000000</f>
        <v/>
      </c>
      <c r="E23">
        <f>E22+D23</f>
        <v/>
      </c>
    </row>
    <row r="24">
      <c r="A24" t="n">
        <v>20</v>
      </c>
      <c r="B24" t="inlineStr">
        <is>
          <t>2023-06-15</t>
        </is>
      </c>
      <c r="C24" t="n">
        <v>3024138</v>
      </c>
      <c r="D24">
        <f>C24/1000000</f>
        <v/>
      </c>
      <c r="E24">
        <f>E23+D24</f>
        <v/>
      </c>
    </row>
    <row r="25">
      <c r="A25" t="n">
        <v>21</v>
      </c>
      <c r="B25" t="inlineStr">
        <is>
          <t>2023-06-22</t>
        </is>
      </c>
      <c r="C25" t="n">
        <v>3092700</v>
      </c>
      <c r="D25">
        <f>C25/1000000</f>
        <v/>
      </c>
      <c r="E25">
        <f>E24+D25</f>
        <v/>
      </c>
    </row>
    <row r="26">
      <c r="A26" t="n">
        <v>22</v>
      </c>
      <c r="B26" t="inlineStr">
        <is>
          <t>2023-06-29</t>
        </is>
      </c>
      <c r="C26" t="n">
        <v>3160985</v>
      </c>
      <c r="D26">
        <f>C26/1000000</f>
        <v/>
      </c>
      <c r="E26">
        <f>E25+D26</f>
        <v/>
      </c>
    </row>
    <row r="27">
      <c r="A27" t="n">
        <v>23</v>
      </c>
      <c r="B27" t="inlineStr">
        <is>
          <t>2023-07-06</t>
        </is>
      </c>
      <c r="C27" t="n">
        <v>3102254</v>
      </c>
      <c r="D27">
        <f>C27/1000000</f>
        <v/>
      </c>
      <c r="E27">
        <f>E26+D27</f>
        <v/>
      </c>
    </row>
    <row r="28">
      <c r="A28" t="n">
        <v>24</v>
      </c>
      <c r="B28" t="inlineStr">
        <is>
          <t>2023-07-13</t>
        </is>
      </c>
      <c r="C28" t="n">
        <v>3084357</v>
      </c>
      <c r="D28">
        <f>C28/1000000</f>
        <v/>
      </c>
      <c r="E28">
        <f>E27+D28</f>
        <v/>
      </c>
    </row>
    <row r="29">
      <c r="A29" t="n">
        <v>25</v>
      </c>
      <c r="B29" t="inlineStr">
        <is>
          <t>2023-07-20</t>
        </is>
      </c>
      <c r="C29" t="n">
        <v>3563141</v>
      </c>
      <c r="D29">
        <f>C29/1000000</f>
        <v/>
      </c>
      <c r="E29">
        <f>E28+D29</f>
        <v/>
      </c>
    </row>
    <row r="30">
      <c r="A30" t="n">
        <v>26</v>
      </c>
      <c r="B30" t="inlineStr">
        <is>
          <t>2023-07-27</t>
        </is>
      </c>
      <c r="C30" t="n">
        <v>4170775</v>
      </c>
      <c r="D30">
        <f>C30/1000000</f>
        <v/>
      </c>
      <c r="E30">
        <f>E29+D30</f>
        <v/>
      </c>
    </row>
    <row r="31">
      <c r="A31" t="n">
        <v>27</v>
      </c>
      <c r="B31" t="inlineStr">
        <is>
          <t>2023-08-03</t>
        </is>
      </c>
      <c r="C31" t="n">
        <v>3508445</v>
      </c>
      <c r="D31">
        <f>C31/1000000</f>
        <v/>
      </c>
      <c r="E31">
        <f>E30+D31</f>
        <v/>
      </c>
    </row>
    <row r="32">
      <c r="A32" t="n">
        <v>28</v>
      </c>
      <c r="B32" t="inlineStr">
        <is>
          <t>2023-08-10</t>
        </is>
      </c>
      <c r="C32" t="n">
        <v>3799664</v>
      </c>
      <c r="D32">
        <f>C32/1000000</f>
        <v/>
      </c>
      <c r="E32">
        <f>E31+D32</f>
        <v/>
      </c>
    </row>
    <row r="33">
      <c r="A33" t="n">
        <v>29</v>
      </c>
      <c r="B33" t="inlineStr">
        <is>
          <t>2023-08-17</t>
        </is>
      </c>
      <c r="C33" t="n">
        <v>3829770</v>
      </c>
      <c r="D33">
        <f>C33/1000000</f>
        <v/>
      </c>
      <c r="E33">
        <f>E32+D33</f>
        <v/>
      </c>
    </row>
    <row r="34">
      <c r="A34" t="n">
        <v>30</v>
      </c>
      <c r="B34" t="inlineStr">
        <is>
          <t>2023-08-24</t>
        </is>
      </c>
      <c r="C34" t="n">
        <v>3612550</v>
      </c>
      <c r="D34">
        <f>C34/1000000</f>
        <v/>
      </c>
      <c r="E34">
        <f>E33+D34</f>
        <v/>
      </c>
    </row>
    <row r="35">
      <c r="A35" t="n">
        <v>31</v>
      </c>
      <c r="B35" t="inlineStr">
        <is>
          <t>2023-08-31</t>
        </is>
      </c>
      <c r="C35" t="n">
        <v>3507013</v>
      </c>
      <c r="D35">
        <f>C35/1000000</f>
        <v/>
      </c>
      <c r="E35">
        <f>E34+D35</f>
        <v/>
      </c>
    </row>
    <row r="36">
      <c r="A36" t="n">
        <v>32</v>
      </c>
      <c r="B36" t="inlineStr">
        <is>
          <t>2023-09-07</t>
        </is>
      </c>
      <c r="C36" t="n">
        <v>4064808</v>
      </c>
      <c r="D36">
        <f>C36/1000000</f>
        <v/>
      </c>
      <c r="E36">
        <f>E35+D36</f>
        <v/>
      </c>
    </row>
    <row r="37">
      <c r="A37" t="n">
        <v>33</v>
      </c>
      <c r="B37" t="inlineStr">
        <is>
          <t>2023-09-14</t>
        </is>
      </c>
      <c r="C37" t="n">
        <v>3759711</v>
      </c>
      <c r="D37">
        <f>C37/1000000</f>
        <v/>
      </c>
      <c r="E37">
        <f>E36+D37</f>
        <v/>
      </c>
    </row>
    <row r="38">
      <c r="A38" t="n">
        <v>34</v>
      </c>
      <c r="B38" t="inlineStr">
        <is>
          <t>2023-09-21</t>
        </is>
      </c>
      <c r="C38" t="n">
        <v>3380414</v>
      </c>
      <c r="D38">
        <f>C38/1000000</f>
        <v/>
      </c>
      <c r="E38">
        <f>E37+D38</f>
        <v/>
      </c>
    </row>
    <row r="39">
      <c r="A39" t="n">
        <v>35</v>
      </c>
      <c r="B39" t="inlineStr">
        <is>
          <t>2023-09-28</t>
        </is>
      </c>
      <c r="C39" t="n">
        <v>3253511</v>
      </c>
      <c r="D39">
        <f>C39/1000000</f>
        <v/>
      </c>
      <c r="E39">
        <f>E38+D39</f>
        <v/>
      </c>
    </row>
    <row r="40">
      <c r="A40" t="n">
        <v>36</v>
      </c>
      <c r="B40" t="inlineStr">
        <is>
          <t>2023-10-05</t>
        </is>
      </c>
      <c r="C40" t="n">
        <v>3135938</v>
      </c>
      <c r="D40">
        <f>C40/1000000</f>
        <v/>
      </c>
      <c r="E40">
        <f>E39+D40</f>
        <v/>
      </c>
    </row>
    <row r="41">
      <c r="A41" t="n">
        <v>37</v>
      </c>
      <c r="B41" t="inlineStr">
        <is>
          <t>2023-10-12</t>
        </is>
      </c>
      <c r="C41" t="n">
        <v>2962324</v>
      </c>
      <c r="D41">
        <f>C41/1000000</f>
        <v/>
      </c>
      <c r="E41">
        <f>E40+D41</f>
        <v/>
      </c>
    </row>
    <row r="42">
      <c r="A42" t="n">
        <v>38</v>
      </c>
      <c r="B42" t="inlineStr">
        <is>
          <t>2023-10-19</t>
        </is>
      </c>
      <c r="C42" t="n">
        <v>2770651</v>
      </c>
      <c r="D42">
        <f>C42/1000000</f>
        <v/>
      </c>
      <c r="E42">
        <f>E41+D42</f>
        <v/>
      </c>
    </row>
    <row r="43">
      <c r="A43" t="n">
        <v>39</v>
      </c>
      <c r="B43" t="inlineStr">
        <is>
          <t>2023-10-26</t>
        </is>
      </c>
      <c r="C43" t="n">
        <v>2736409</v>
      </c>
      <c r="D43">
        <f>C43/1000000</f>
        <v/>
      </c>
      <c r="E43">
        <f>E42+D43</f>
        <v/>
      </c>
    </row>
    <row r="44">
      <c r="A44" t="n">
        <v>40</v>
      </c>
      <c r="B44" t="inlineStr">
        <is>
          <t>2023-11-02</t>
        </is>
      </c>
      <c r="C44" t="n">
        <v>3060277</v>
      </c>
      <c r="D44">
        <f>C44/1000000</f>
        <v/>
      </c>
      <c r="E44">
        <f>E43+D44</f>
        <v/>
      </c>
    </row>
    <row r="45">
      <c r="A45" t="n">
        <v>41</v>
      </c>
      <c r="B45" t="inlineStr">
        <is>
          <t>2023-11-09</t>
        </is>
      </c>
      <c r="C45" t="n">
        <v>3068245</v>
      </c>
      <c r="D45">
        <f>C45/1000000</f>
        <v/>
      </c>
      <c r="E45">
        <f>E44+D45</f>
        <v/>
      </c>
    </row>
    <row r="46">
      <c r="A46" t="n">
        <v>42</v>
      </c>
      <c r="B46" t="inlineStr">
        <is>
          <t>2023-11-16</t>
        </is>
      </c>
      <c r="C46" t="n">
        <v>3244273</v>
      </c>
      <c r="D46">
        <f>C46/1000000</f>
        <v/>
      </c>
      <c r="E46">
        <f>E45+D46</f>
        <v/>
      </c>
    </row>
    <row r="47">
      <c r="A47" t="n">
        <v>43</v>
      </c>
      <c r="B47" t="inlineStr">
        <is>
          <t>2023-11-23</t>
        </is>
      </c>
      <c r="C47" t="n">
        <v>3051800</v>
      </c>
      <c r="D47">
        <f>C47/1000000</f>
        <v/>
      </c>
      <c r="E47">
        <f>E46+D47</f>
        <v/>
      </c>
    </row>
    <row r="48">
      <c r="A48" t="n">
        <v>44</v>
      </c>
      <c r="B48" t="inlineStr">
        <is>
          <t>2023-11-30</t>
        </is>
      </c>
      <c r="C48" t="n">
        <v>3246738</v>
      </c>
      <c r="D48">
        <f>C48/1000000</f>
        <v/>
      </c>
      <c r="E48">
        <f>E47+D48</f>
        <v/>
      </c>
    </row>
    <row r="49">
      <c r="A49" t="n">
        <v>45</v>
      </c>
      <c r="B49" t="inlineStr">
        <is>
          <t>2023-12-07</t>
        </is>
      </c>
      <c r="C49" t="n">
        <v>3206277</v>
      </c>
      <c r="D49">
        <f>C49/1000000</f>
        <v/>
      </c>
      <c r="E49">
        <f>E48+D49</f>
        <v/>
      </c>
    </row>
    <row r="50">
      <c r="A50" t="n">
        <v>46</v>
      </c>
      <c r="B50" t="inlineStr">
        <is>
          <t>2023-12-14</t>
        </is>
      </c>
      <c r="C50" t="n">
        <v>2811829</v>
      </c>
      <c r="D50">
        <f>C50/1000000</f>
        <v/>
      </c>
      <c r="E50">
        <f>E49+D50</f>
        <v/>
      </c>
    </row>
    <row r="52">
      <c r="A52" s="3" t="inlineStr">
        <is>
          <t>Semana pico (máx. reproducciones):</t>
        </is>
      </c>
      <c r="D52">
        <f>MAX(D4:D50)</f>
        <v/>
      </c>
    </row>
    <row r="53">
      <c r="A53" t="inlineStr">
        <is>
          <t>Ancho de banda promedio (Mbps) = M × 1e6 × 160 kbps × 186 s / 1000 / 604800 s</t>
        </is>
      </c>
      <c r="D53">
        <f>D52*1000000*160*186/1000/604800</f>
        <v/>
      </c>
    </row>
    <row r="54">
      <c r="A54" t="inlineStr">
        <is>
          <t>Supuestos: duración 3:06 (186 s) y 160 kbps. Son órdenes de magnitud, no datos de Spotify.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Interpolación de Newton: diferencias divididas con los 4 datos que rodean 100 M</t>
        </is>
      </c>
    </row>
    <row r="3">
      <c r="A3" s="2" t="inlineStr">
        <is>
          <t>t</t>
        </is>
      </c>
      <c r="B3" s="2" t="inlineStr">
        <is>
          <t>S(t)</t>
        </is>
      </c>
      <c r="C3" s="2" t="inlineStr">
        <is>
          <t>1ra dif.</t>
        </is>
      </c>
      <c r="D3" s="2" t="inlineStr">
        <is>
          <t>2da dif.</t>
        </is>
      </c>
      <c r="E3" s="2" t="inlineStr">
        <is>
          <t>3ra dif.</t>
        </is>
      </c>
    </row>
    <row r="4">
      <c r="A4">
        <f>Datos!A38</f>
        <v/>
      </c>
      <c r="B4">
        <f>Datos!E38</f>
        <v/>
      </c>
      <c r="C4">
        <f>(B5-B4)/(A5-A4)</f>
        <v/>
      </c>
      <c r="D4">
        <f>(C5-C4)/(A6-A4)</f>
        <v/>
      </c>
      <c r="E4">
        <f>(D5-D4)/(A7-A4)</f>
        <v/>
      </c>
    </row>
    <row r="5">
      <c r="A5">
        <f>Datos!A39</f>
        <v/>
      </c>
      <c r="B5">
        <f>Datos!E39</f>
        <v/>
      </c>
      <c r="C5">
        <f>(B6-B5)/(A6-A5)</f>
        <v/>
      </c>
      <c r="D5">
        <f>(C6-C5)/(A7-A5)</f>
        <v/>
      </c>
    </row>
    <row r="6">
      <c r="A6">
        <f>Datos!A40</f>
        <v/>
      </c>
      <c r="B6">
        <f>Datos!E40</f>
        <v/>
      </c>
      <c r="C6">
        <f>(B7-B6)/(A7-A6)</f>
        <v/>
      </c>
    </row>
    <row r="7">
      <c r="A7">
        <f>Datos!A41</f>
        <v/>
      </c>
      <c r="B7">
        <f>Datos!E41</f>
        <v/>
      </c>
    </row>
    <row r="9">
      <c r="A9" t="inlineStr">
        <is>
          <t>P(t) = b0 + b1(t-x0) + b2(t-x0)(t-x1) + b3(t-x0)(t-x1)(t-x2)</t>
        </is>
      </c>
    </row>
    <row r="10">
      <c r="A10" t="inlineStr">
        <is>
          <t>b0</t>
        </is>
      </c>
      <c r="B10">
        <f>B4</f>
        <v/>
      </c>
    </row>
    <row r="11">
      <c r="A11" t="inlineStr">
        <is>
          <t>b1</t>
        </is>
      </c>
      <c r="B11">
        <f>C4</f>
        <v/>
      </c>
    </row>
    <row r="12">
      <c r="A12" t="inlineStr">
        <is>
          <t>b2</t>
        </is>
      </c>
      <c r="B12">
        <f>D4</f>
        <v/>
      </c>
    </row>
    <row r="13">
      <c r="A13" t="inlineStr">
        <is>
          <t>b3</t>
        </is>
      </c>
      <c r="B13">
        <f>E4</f>
        <v/>
      </c>
    </row>
    <row r="14">
      <c r="A14" t="inlineStr">
        <is>
          <t>x0</t>
        </is>
      </c>
      <c r="B14">
        <f>A4</f>
        <v/>
      </c>
    </row>
    <row r="15">
      <c r="A15" t="inlineStr">
        <is>
          <t>x1</t>
        </is>
      </c>
      <c r="B15">
        <f>A5</f>
        <v/>
      </c>
    </row>
    <row r="16">
      <c r="A16" t="inlineStr">
        <is>
          <t>x2</t>
        </is>
      </c>
      <c r="B16">
        <f>A6</f>
        <v/>
      </c>
    </row>
    <row r="17">
      <c r="A17" t="inlineStr">
        <is>
          <t>Meta (M)</t>
        </is>
      </c>
      <c r="B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Bisección: f(t) = P(t) - 100 en [35, 36], |Ea| &lt; 0,0001 %</t>
        </is>
      </c>
    </row>
    <row r="3">
      <c r="A3" s="2" t="inlineStr">
        <is>
          <t>it</t>
        </is>
      </c>
      <c r="B3" s="2" t="inlineStr">
        <is>
          <t>a</t>
        </is>
      </c>
      <c r="C3" s="2" t="inlineStr">
        <is>
          <t>b</t>
        </is>
      </c>
      <c r="D3" s="2" t="inlineStr">
        <is>
          <t>xr</t>
        </is>
      </c>
      <c r="E3" s="2" t="inlineStr">
        <is>
          <t>f(a)</t>
        </is>
      </c>
      <c r="F3" s="2" t="inlineStr">
        <is>
          <t>f(xr)</t>
        </is>
      </c>
      <c r="G3" s="2" t="inlineStr">
        <is>
          <t>|Ea| %</t>
        </is>
      </c>
    </row>
    <row r="4">
      <c r="A4" t="n">
        <v>1</v>
      </c>
      <c r="B4" t="n">
        <v>35</v>
      </c>
      <c r="C4" t="n">
        <v>36</v>
      </c>
      <c r="D4">
        <f>(B4+C4)/2</f>
        <v/>
      </c>
      <c r="E4">
        <f>(Interpolacion!$B$10+Interpolacion!$B$11*(B4-Interpolacion!$B$14)+Interpolacion!$B$12*(B4-Interpolacion!$B$14)*(B4-Interpolacion!$B$15)+Interpolacion!$B$13*(B4-Interpolacion!$B$14)*(B4-Interpolacion!$B$15)*(B4-Interpolacion!$B$16)-Interpolacion!$B$17)</f>
        <v/>
      </c>
      <c r="F4">
        <f>(Interpolacion!$B$10+Interpolacion!$B$11*(D4-Interpolacion!$B$14)+Interpolacion!$B$12*(D4-Interpolacion!$B$14)*(D4-Interpolacion!$B$15)+Interpolacion!$B$13*(D4-Interpolacion!$B$14)*(D4-Interpolacion!$B$15)*(D4-Interpolacion!$B$16)-Interpolacion!$B$17)</f>
        <v/>
      </c>
      <c r="G4" t="n">
        <v>100</v>
      </c>
    </row>
    <row r="5">
      <c r="A5" t="n">
        <v>2</v>
      </c>
      <c r="B5">
        <f>IF(E4*F4&lt;0,B4,D4)</f>
        <v/>
      </c>
      <c r="C5">
        <f>IF(E4*F4&lt;0,D4,C4)</f>
        <v/>
      </c>
      <c r="D5">
        <f>(B5+C5)/2</f>
        <v/>
      </c>
      <c r="E5">
        <f>(Interpolacion!$B$10+Interpolacion!$B$11*(B5-Interpolacion!$B$14)+Interpolacion!$B$12*(B5-Interpolacion!$B$14)*(B5-Interpolacion!$B$15)+Interpolacion!$B$13*(B5-Interpolacion!$B$14)*(B5-Interpolacion!$B$15)*(B5-Interpolacion!$B$16)-Interpolacion!$B$17)</f>
        <v/>
      </c>
      <c r="F5">
        <f>(Interpolacion!$B$10+Interpolacion!$B$11*(D5-Interpolacion!$B$14)+Interpolacion!$B$12*(D5-Interpolacion!$B$14)*(D5-Interpolacion!$B$15)+Interpolacion!$B$13*(D5-Interpolacion!$B$14)*(D5-Interpolacion!$B$15)*(D5-Interpolacion!$B$16)-Interpolacion!$B$17)</f>
        <v/>
      </c>
      <c r="G5">
        <f>ABS((D5-D4)/D5)*100</f>
        <v/>
      </c>
    </row>
    <row r="6">
      <c r="A6" t="n">
        <v>3</v>
      </c>
      <c r="B6">
        <f>IF(E5*F5&lt;0,B5,D5)</f>
        <v/>
      </c>
      <c r="C6">
        <f>IF(E5*F5&lt;0,D5,C5)</f>
        <v/>
      </c>
      <c r="D6">
        <f>(B6+C6)/2</f>
        <v/>
      </c>
      <c r="E6">
        <f>(Interpolacion!$B$10+Interpolacion!$B$11*(B6-Interpolacion!$B$14)+Interpolacion!$B$12*(B6-Interpolacion!$B$14)*(B6-Interpolacion!$B$15)+Interpolacion!$B$13*(B6-Interpolacion!$B$14)*(B6-Interpolacion!$B$15)*(B6-Interpolacion!$B$16)-Interpolacion!$B$17)</f>
        <v/>
      </c>
      <c r="F6">
        <f>(Interpolacion!$B$10+Interpolacion!$B$11*(D6-Interpolacion!$B$14)+Interpolacion!$B$12*(D6-Interpolacion!$B$14)*(D6-Interpolacion!$B$15)+Interpolacion!$B$13*(D6-Interpolacion!$B$14)*(D6-Interpolacion!$B$15)*(D6-Interpolacion!$B$16)-Interpolacion!$B$17)</f>
        <v/>
      </c>
      <c r="G6">
        <f>ABS((D6-D5)/D6)*100</f>
        <v/>
      </c>
    </row>
    <row r="7">
      <c r="A7" t="n">
        <v>4</v>
      </c>
      <c r="B7">
        <f>IF(E6*F6&lt;0,B6,D6)</f>
        <v/>
      </c>
      <c r="C7">
        <f>IF(E6*F6&lt;0,D6,C6)</f>
        <v/>
      </c>
      <c r="D7">
        <f>(B7+C7)/2</f>
        <v/>
      </c>
      <c r="E7">
        <f>(Interpolacion!$B$10+Interpolacion!$B$11*(B7-Interpolacion!$B$14)+Interpolacion!$B$12*(B7-Interpolacion!$B$14)*(B7-Interpolacion!$B$15)+Interpolacion!$B$13*(B7-Interpolacion!$B$14)*(B7-Interpolacion!$B$15)*(B7-Interpolacion!$B$16)-Interpolacion!$B$17)</f>
        <v/>
      </c>
      <c r="F7">
        <f>(Interpolacion!$B$10+Interpolacion!$B$11*(D7-Interpolacion!$B$14)+Interpolacion!$B$12*(D7-Interpolacion!$B$14)*(D7-Interpolacion!$B$15)+Interpolacion!$B$13*(D7-Interpolacion!$B$14)*(D7-Interpolacion!$B$15)*(D7-Interpolacion!$B$16)-Interpolacion!$B$17)</f>
        <v/>
      </c>
      <c r="G7">
        <f>ABS((D7-D6)/D7)*100</f>
        <v/>
      </c>
    </row>
    <row r="8">
      <c r="A8" t="n">
        <v>5</v>
      </c>
      <c r="B8">
        <f>IF(E7*F7&lt;0,B7,D7)</f>
        <v/>
      </c>
      <c r="C8">
        <f>IF(E7*F7&lt;0,D7,C7)</f>
        <v/>
      </c>
      <c r="D8">
        <f>(B8+C8)/2</f>
        <v/>
      </c>
      <c r="E8">
        <f>(Interpolacion!$B$10+Interpolacion!$B$11*(B8-Interpolacion!$B$14)+Interpolacion!$B$12*(B8-Interpolacion!$B$14)*(B8-Interpolacion!$B$15)+Interpolacion!$B$13*(B8-Interpolacion!$B$14)*(B8-Interpolacion!$B$15)*(B8-Interpolacion!$B$16)-Interpolacion!$B$17)</f>
        <v/>
      </c>
      <c r="F8">
        <f>(Interpolacion!$B$10+Interpolacion!$B$11*(D8-Interpolacion!$B$14)+Interpolacion!$B$12*(D8-Interpolacion!$B$14)*(D8-Interpolacion!$B$15)+Interpolacion!$B$13*(D8-Interpolacion!$B$14)*(D8-Interpolacion!$B$15)*(D8-Interpolacion!$B$16)-Interpolacion!$B$17)</f>
        <v/>
      </c>
      <c r="G8">
        <f>ABS((D8-D7)/D8)*100</f>
        <v/>
      </c>
    </row>
    <row r="9">
      <c r="A9" t="n">
        <v>6</v>
      </c>
      <c r="B9">
        <f>IF(E8*F8&lt;0,B8,D8)</f>
        <v/>
      </c>
      <c r="C9">
        <f>IF(E8*F8&lt;0,D8,C8)</f>
        <v/>
      </c>
      <c r="D9">
        <f>(B9+C9)/2</f>
        <v/>
      </c>
      <c r="E9">
        <f>(Interpolacion!$B$10+Interpolacion!$B$11*(B9-Interpolacion!$B$14)+Interpolacion!$B$12*(B9-Interpolacion!$B$14)*(B9-Interpolacion!$B$15)+Interpolacion!$B$13*(B9-Interpolacion!$B$14)*(B9-Interpolacion!$B$15)*(B9-Interpolacion!$B$16)-Interpolacion!$B$17)</f>
        <v/>
      </c>
      <c r="F9">
        <f>(Interpolacion!$B$10+Interpolacion!$B$11*(D9-Interpolacion!$B$14)+Interpolacion!$B$12*(D9-Interpolacion!$B$14)*(D9-Interpolacion!$B$15)+Interpolacion!$B$13*(D9-Interpolacion!$B$14)*(D9-Interpolacion!$B$15)*(D9-Interpolacion!$B$16)-Interpolacion!$B$17)</f>
        <v/>
      </c>
      <c r="G9">
        <f>ABS((D9-D8)/D9)*100</f>
        <v/>
      </c>
    </row>
    <row r="10">
      <c r="A10" t="n">
        <v>7</v>
      </c>
      <c r="B10">
        <f>IF(E9*F9&lt;0,B9,D9)</f>
        <v/>
      </c>
      <c r="C10">
        <f>IF(E9*F9&lt;0,D9,C9)</f>
        <v/>
      </c>
      <c r="D10">
        <f>(B10+C10)/2</f>
        <v/>
      </c>
      <c r="E10">
        <f>(Interpolacion!$B$10+Interpolacion!$B$11*(B10-Interpolacion!$B$14)+Interpolacion!$B$12*(B10-Interpolacion!$B$14)*(B10-Interpolacion!$B$15)+Interpolacion!$B$13*(B10-Interpolacion!$B$14)*(B10-Interpolacion!$B$15)*(B10-Interpolacion!$B$16)-Interpolacion!$B$17)</f>
        <v/>
      </c>
      <c r="F10">
        <f>(Interpolacion!$B$10+Interpolacion!$B$11*(D10-Interpolacion!$B$14)+Interpolacion!$B$12*(D10-Interpolacion!$B$14)*(D10-Interpolacion!$B$15)+Interpolacion!$B$13*(D10-Interpolacion!$B$14)*(D10-Interpolacion!$B$15)*(D10-Interpolacion!$B$16)-Interpolacion!$B$17)</f>
        <v/>
      </c>
      <c r="G10">
        <f>ABS((D10-D9)/D10)*100</f>
        <v/>
      </c>
    </row>
    <row r="11">
      <c r="A11" t="n">
        <v>8</v>
      </c>
      <c r="B11">
        <f>IF(E10*F10&lt;0,B10,D10)</f>
        <v/>
      </c>
      <c r="C11">
        <f>IF(E10*F10&lt;0,D10,C10)</f>
        <v/>
      </c>
      <c r="D11">
        <f>(B11+C11)/2</f>
        <v/>
      </c>
      <c r="E11">
        <f>(Interpolacion!$B$10+Interpolacion!$B$11*(B11-Interpolacion!$B$14)+Interpolacion!$B$12*(B11-Interpolacion!$B$14)*(B11-Interpolacion!$B$15)+Interpolacion!$B$13*(B11-Interpolacion!$B$14)*(B11-Interpolacion!$B$15)*(B11-Interpolacion!$B$16)-Interpolacion!$B$17)</f>
        <v/>
      </c>
      <c r="F11">
        <f>(Interpolacion!$B$10+Interpolacion!$B$11*(D11-Interpolacion!$B$14)+Interpolacion!$B$12*(D11-Interpolacion!$B$14)*(D11-Interpolacion!$B$15)+Interpolacion!$B$13*(D11-Interpolacion!$B$14)*(D11-Interpolacion!$B$15)*(D11-Interpolacion!$B$16)-Interpolacion!$B$17)</f>
        <v/>
      </c>
      <c r="G11">
        <f>ABS((D11-D10)/D11)*100</f>
        <v/>
      </c>
    </row>
    <row r="12">
      <c r="A12" t="n">
        <v>9</v>
      </c>
      <c r="B12">
        <f>IF(E11*F11&lt;0,B11,D11)</f>
        <v/>
      </c>
      <c r="C12">
        <f>IF(E11*F11&lt;0,D11,C11)</f>
        <v/>
      </c>
      <c r="D12">
        <f>(B12+C12)/2</f>
        <v/>
      </c>
      <c r="E12">
        <f>(Interpolacion!$B$10+Interpolacion!$B$11*(B12-Interpolacion!$B$14)+Interpolacion!$B$12*(B12-Interpolacion!$B$14)*(B12-Interpolacion!$B$15)+Interpolacion!$B$13*(B12-Interpolacion!$B$14)*(B12-Interpolacion!$B$15)*(B12-Interpolacion!$B$16)-Interpolacion!$B$17)</f>
        <v/>
      </c>
      <c r="F12">
        <f>(Interpolacion!$B$10+Interpolacion!$B$11*(D12-Interpolacion!$B$14)+Interpolacion!$B$12*(D12-Interpolacion!$B$14)*(D12-Interpolacion!$B$15)+Interpolacion!$B$13*(D12-Interpolacion!$B$14)*(D12-Interpolacion!$B$15)*(D12-Interpolacion!$B$16)-Interpolacion!$B$17)</f>
        <v/>
      </c>
      <c r="G12">
        <f>ABS((D12-D11)/D12)*100</f>
        <v/>
      </c>
    </row>
    <row r="13">
      <c r="A13" t="n">
        <v>10</v>
      </c>
      <c r="B13">
        <f>IF(E12*F12&lt;0,B12,D12)</f>
        <v/>
      </c>
      <c r="C13">
        <f>IF(E12*F12&lt;0,D12,C12)</f>
        <v/>
      </c>
      <c r="D13">
        <f>(B13+C13)/2</f>
        <v/>
      </c>
      <c r="E13">
        <f>(Interpolacion!$B$10+Interpolacion!$B$11*(B13-Interpolacion!$B$14)+Interpolacion!$B$12*(B13-Interpolacion!$B$14)*(B13-Interpolacion!$B$15)+Interpolacion!$B$13*(B13-Interpolacion!$B$14)*(B13-Interpolacion!$B$15)*(B13-Interpolacion!$B$16)-Interpolacion!$B$17)</f>
        <v/>
      </c>
      <c r="F13">
        <f>(Interpolacion!$B$10+Interpolacion!$B$11*(D13-Interpolacion!$B$14)+Interpolacion!$B$12*(D13-Interpolacion!$B$14)*(D13-Interpolacion!$B$15)+Interpolacion!$B$13*(D13-Interpolacion!$B$14)*(D13-Interpolacion!$B$15)*(D13-Interpolacion!$B$16)-Interpolacion!$B$17)</f>
        <v/>
      </c>
      <c r="G13">
        <f>ABS((D13-D12)/D13)*100</f>
        <v/>
      </c>
    </row>
    <row r="14">
      <c r="A14" t="n">
        <v>11</v>
      </c>
      <c r="B14">
        <f>IF(E13*F13&lt;0,B13,D13)</f>
        <v/>
      </c>
      <c r="C14">
        <f>IF(E13*F13&lt;0,D13,C13)</f>
        <v/>
      </c>
      <c r="D14">
        <f>(B14+C14)/2</f>
        <v/>
      </c>
      <c r="E14">
        <f>(Interpolacion!$B$10+Interpolacion!$B$11*(B14-Interpolacion!$B$14)+Interpolacion!$B$12*(B14-Interpolacion!$B$14)*(B14-Interpolacion!$B$15)+Interpolacion!$B$13*(B14-Interpolacion!$B$14)*(B14-Interpolacion!$B$15)*(B14-Interpolacion!$B$16)-Interpolacion!$B$17)</f>
        <v/>
      </c>
      <c r="F14">
        <f>(Interpolacion!$B$10+Interpolacion!$B$11*(D14-Interpolacion!$B$14)+Interpolacion!$B$12*(D14-Interpolacion!$B$14)*(D14-Interpolacion!$B$15)+Interpolacion!$B$13*(D14-Interpolacion!$B$14)*(D14-Interpolacion!$B$15)*(D14-Interpolacion!$B$16)-Interpolacion!$B$17)</f>
        <v/>
      </c>
      <c r="G14">
        <f>ABS((D14-D13)/D14)*100</f>
        <v/>
      </c>
    </row>
    <row r="15">
      <c r="A15" t="n">
        <v>12</v>
      </c>
      <c r="B15">
        <f>IF(E14*F14&lt;0,B14,D14)</f>
        <v/>
      </c>
      <c r="C15">
        <f>IF(E14*F14&lt;0,D14,C14)</f>
        <v/>
      </c>
      <c r="D15">
        <f>(B15+C15)/2</f>
        <v/>
      </c>
      <c r="E15">
        <f>(Interpolacion!$B$10+Interpolacion!$B$11*(B15-Interpolacion!$B$14)+Interpolacion!$B$12*(B15-Interpolacion!$B$14)*(B15-Interpolacion!$B$15)+Interpolacion!$B$13*(B15-Interpolacion!$B$14)*(B15-Interpolacion!$B$15)*(B15-Interpolacion!$B$16)-Interpolacion!$B$17)</f>
        <v/>
      </c>
      <c r="F15">
        <f>(Interpolacion!$B$10+Interpolacion!$B$11*(D15-Interpolacion!$B$14)+Interpolacion!$B$12*(D15-Interpolacion!$B$14)*(D15-Interpolacion!$B$15)+Interpolacion!$B$13*(D15-Interpolacion!$B$14)*(D15-Interpolacion!$B$15)*(D15-Interpolacion!$B$16)-Interpolacion!$B$17)</f>
        <v/>
      </c>
      <c r="G15">
        <f>ABS((D15-D14)/D15)*100</f>
        <v/>
      </c>
    </row>
    <row r="16">
      <c r="A16" t="n">
        <v>13</v>
      </c>
      <c r="B16">
        <f>IF(E15*F15&lt;0,B15,D15)</f>
        <v/>
      </c>
      <c r="C16">
        <f>IF(E15*F15&lt;0,D15,C15)</f>
        <v/>
      </c>
      <c r="D16">
        <f>(B16+C16)/2</f>
        <v/>
      </c>
      <c r="E16">
        <f>(Interpolacion!$B$10+Interpolacion!$B$11*(B16-Interpolacion!$B$14)+Interpolacion!$B$12*(B16-Interpolacion!$B$14)*(B16-Interpolacion!$B$15)+Interpolacion!$B$13*(B16-Interpolacion!$B$14)*(B16-Interpolacion!$B$15)*(B16-Interpolacion!$B$16)-Interpolacion!$B$17)</f>
        <v/>
      </c>
      <c r="F16">
        <f>(Interpolacion!$B$10+Interpolacion!$B$11*(D16-Interpolacion!$B$14)+Interpolacion!$B$12*(D16-Interpolacion!$B$14)*(D16-Interpolacion!$B$15)+Interpolacion!$B$13*(D16-Interpolacion!$B$14)*(D16-Interpolacion!$B$15)*(D16-Interpolacion!$B$16)-Interpolacion!$B$17)</f>
        <v/>
      </c>
      <c r="G16">
        <f>ABS((D16-D15)/D16)*100</f>
        <v/>
      </c>
    </row>
    <row r="17">
      <c r="A17" t="n">
        <v>14</v>
      </c>
      <c r="B17">
        <f>IF(E16*F16&lt;0,B16,D16)</f>
        <v/>
      </c>
      <c r="C17">
        <f>IF(E16*F16&lt;0,D16,C16)</f>
        <v/>
      </c>
      <c r="D17">
        <f>(B17+C17)/2</f>
        <v/>
      </c>
      <c r="E17">
        <f>(Interpolacion!$B$10+Interpolacion!$B$11*(B17-Interpolacion!$B$14)+Interpolacion!$B$12*(B17-Interpolacion!$B$14)*(B17-Interpolacion!$B$15)+Interpolacion!$B$13*(B17-Interpolacion!$B$14)*(B17-Interpolacion!$B$15)*(B17-Interpolacion!$B$16)-Interpolacion!$B$17)</f>
        <v/>
      </c>
      <c r="F17">
        <f>(Interpolacion!$B$10+Interpolacion!$B$11*(D17-Interpolacion!$B$14)+Interpolacion!$B$12*(D17-Interpolacion!$B$14)*(D17-Interpolacion!$B$15)+Interpolacion!$B$13*(D17-Interpolacion!$B$14)*(D17-Interpolacion!$B$15)*(D17-Interpolacion!$B$16)-Interpolacion!$B$17)</f>
        <v/>
      </c>
      <c r="G17">
        <f>ABS((D17-D16)/D17)*100</f>
        <v/>
      </c>
    </row>
    <row r="18">
      <c r="A18" t="n">
        <v>15</v>
      </c>
      <c r="B18">
        <f>IF(E17*F17&lt;0,B17,D17)</f>
        <v/>
      </c>
      <c r="C18">
        <f>IF(E17*F17&lt;0,D17,C17)</f>
        <v/>
      </c>
      <c r="D18">
        <f>(B18+C18)/2</f>
        <v/>
      </c>
      <c r="E18">
        <f>(Interpolacion!$B$10+Interpolacion!$B$11*(B18-Interpolacion!$B$14)+Interpolacion!$B$12*(B18-Interpolacion!$B$14)*(B18-Interpolacion!$B$15)+Interpolacion!$B$13*(B18-Interpolacion!$B$14)*(B18-Interpolacion!$B$15)*(B18-Interpolacion!$B$16)-Interpolacion!$B$17)</f>
        <v/>
      </c>
      <c r="F18">
        <f>(Interpolacion!$B$10+Interpolacion!$B$11*(D18-Interpolacion!$B$14)+Interpolacion!$B$12*(D18-Interpolacion!$B$14)*(D18-Interpolacion!$B$15)+Interpolacion!$B$13*(D18-Interpolacion!$B$14)*(D18-Interpolacion!$B$15)*(D18-Interpolacion!$B$16)-Interpolacion!$B$17)</f>
        <v/>
      </c>
      <c r="G18">
        <f>ABS((D18-D17)/D18)*100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Newton-Raphson: t(i+1) = t(i) - f(t(i)) / f'(t(i)), t0 = 35</t>
        </is>
      </c>
    </row>
    <row r="3">
      <c r="A3" s="2" t="inlineStr">
        <is>
          <t>it</t>
        </is>
      </c>
      <c r="B3" s="2" t="inlineStr">
        <is>
          <t>t(i)</t>
        </is>
      </c>
      <c r="C3" s="2" t="inlineStr">
        <is>
          <t>f(t(i))</t>
        </is>
      </c>
      <c r="D3" s="2" t="inlineStr">
        <is>
          <t>f'(t(i))</t>
        </is>
      </c>
      <c r="E3" s="2" t="inlineStr">
        <is>
          <t>t(i+1)</t>
        </is>
      </c>
      <c r="F3" s="2" t="inlineStr">
        <is>
          <t>|Ea| %</t>
        </is>
      </c>
    </row>
    <row r="4">
      <c r="A4" t="n">
        <v>1</v>
      </c>
      <c r="B4" t="n">
        <v>35</v>
      </c>
      <c r="C4">
        <f>(Interpolacion!$B$10+Interpolacion!$B$11*(B4-Interpolacion!$B$14)+Interpolacion!$B$12*(B4-Interpolacion!$B$14)*(B4-Interpolacion!$B$15)+Interpolacion!$B$13*(B4-Interpolacion!$B$14)*(B4-Interpolacion!$B$15)*(B4-Interpolacion!$B$16)-Interpolacion!$B$17)</f>
        <v/>
      </c>
      <c r="D4">
        <f>(Interpolacion!$B$11+Interpolacion!$B$12*(2*B4-Interpolacion!$B$14-Interpolacion!$B$15)+Interpolacion!$B$13*((B4-Interpolacion!$B$15)*(B4-Interpolacion!$B$16)+(B4-Interpolacion!$B$14)*(B4-Interpolacion!$B$16)+(B4-Interpolacion!$B$14)*(B4-Interpolacion!$B$15)))</f>
        <v/>
      </c>
      <c r="E4">
        <f>B4-C4/D4</f>
        <v/>
      </c>
      <c r="F4">
        <f>ABS((E4-B4)/E4)*100</f>
        <v/>
      </c>
    </row>
    <row r="5">
      <c r="A5" t="n">
        <v>2</v>
      </c>
      <c r="B5">
        <f>E4</f>
        <v/>
      </c>
      <c r="C5">
        <f>(Interpolacion!$B$10+Interpolacion!$B$11*(B5-Interpolacion!$B$14)+Interpolacion!$B$12*(B5-Interpolacion!$B$14)*(B5-Interpolacion!$B$15)+Interpolacion!$B$13*(B5-Interpolacion!$B$14)*(B5-Interpolacion!$B$15)*(B5-Interpolacion!$B$16)-Interpolacion!$B$17)</f>
        <v/>
      </c>
      <c r="D5">
        <f>(Interpolacion!$B$11+Interpolacion!$B$12*(2*B5-Interpolacion!$B$14-Interpolacion!$B$15)+Interpolacion!$B$13*((B5-Interpolacion!$B$15)*(B5-Interpolacion!$B$16)+(B5-Interpolacion!$B$14)*(B5-Interpolacion!$B$16)+(B5-Interpolacion!$B$14)*(B5-Interpolacion!$B$15)))</f>
        <v/>
      </c>
      <c r="E5">
        <f>B5-C5/D5</f>
        <v/>
      </c>
      <c r="F5">
        <f>ABS((E5-B5)/E5)*100</f>
        <v/>
      </c>
    </row>
    <row r="6">
      <c r="A6" t="n">
        <v>3</v>
      </c>
      <c r="B6">
        <f>E5</f>
        <v/>
      </c>
      <c r="C6">
        <f>(Interpolacion!$B$10+Interpolacion!$B$11*(B6-Interpolacion!$B$14)+Interpolacion!$B$12*(B6-Interpolacion!$B$14)*(B6-Interpolacion!$B$15)+Interpolacion!$B$13*(B6-Interpolacion!$B$14)*(B6-Interpolacion!$B$15)*(B6-Interpolacion!$B$16)-Interpolacion!$B$17)</f>
        <v/>
      </c>
      <c r="D6">
        <f>(Interpolacion!$B$11+Interpolacion!$B$12*(2*B6-Interpolacion!$B$14-Interpolacion!$B$15)+Interpolacion!$B$13*((B6-Interpolacion!$B$15)*(B6-Interpolacion!$B$16)+(B6-Interpolacion!$B$14)*(B6-Interpolacion!$B$16)+(B6-Interpolacion!$B$14)*(B6-Interpolacion!$B$15)))</f>
        <v/>
      </c>
      <c r="E6">
        <f>B6-C6/D6</f>
        <v/>
      </c>
      <c r="F6">
        <f>ABS((E6-B6)/E6)*100</f>
        <v/>
      </c>
    </row>
    <row r="8">
      <c r="A8" t="inlineStr">
        <is>
          <t>Fecha del hito (26/01/2023 + t* × 7 días):</t>
        </is>
      </c>
      <c r="E8" s="4">
        <f>DATE(2023,1,26)+E6*7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2026-10-29T03:05:26Z</dcterms:created>
  <dcterms:modified xmlns:dcterms="http://purl.org/dc/terms/" xmlns:xsi="http://www.w3.org/2001/XMLSchema-instance" xsi:type="dcterms:W3CDTF">2026-10-29T03:05:26Z</dcterms:modified>
</cp:coreProperties>
</file>