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Regresion" sheetId="2" state="visible" r:id="rId2"/>
    <sheet xmlns:r="http://schemas.openxmlformats.org/officeDocument/2006/relationships" name="Biseccion" sheetId="3" state="visible" r:id="rId3"/>
    <sheet xmlns:r="http://schemas.openxmlformats.org/officeDocument/2006/relationships" name="Newton" sheetId="4" state="visible" r:id="rId4"/>
    <sheet xmlns:r="http://schemas.openxmlformats.org/officeDocument/2006/relationships" name="Deriv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000"/>
    <numFmt numFmtId="166" formatCode="0.00000000"/>
    <numFmt numFmtId="167" formatCode="0.000000"/>
    <numFmt numFmtId="168" formatCode="0.00000"/>
    <numFmt numFmtId="169" formatCode="0.00 sem"/>
    <numFmt numFmtId="170" formatCode="0.000 M/sem"/>
    <numFmt numFmtId="171" formatCode="0.000 M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right" vertical="center"/>
    </xf>
    <xf numFmtId="164" fontId="5" fillId="0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right" vertical="center"/>
    </xf>
    <xf numFmtId="0" fontId="5" fillId="0" borderId="2" pivotButton="0" quotePrefix="0" xfId="0"/>
    <xf numFmtId="166" fontId="4" fillId="0" borderId="2" applyAlignment="1" pivotButton="0" quotePrefix="0" xfId="0">
      <alignment horizontal="right" vertical="center"/>
    </xf>
    <xf numFmtId="1" fontId="4" fillId="0" borderId="2" applyAlignment="1" pivotButton="0" quotePrefix="0" xfId="0">
      <alignment horizontal="right" vertical="center"/>
    </xf>
    <xf numFmtId="167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0" fontId="5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9" fontId="4" fillId="0" borderId="2" applyAlignment="1" pivotButton="0" quotePrefix="0" xfId="0">
      <alignment horizontal="right" vertical="center"/>
    </xf>
    <xf numFmtId="170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171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24" customWidth="1" min="3" max="3"/>
    <col width="30" customWidth="1" min="4" max="4"/>
  </cols>
  <sheetData>
    <row r="1">
      <c r="A1" s="1" t="inlineStr">
        <is>
          <t>PROYECTO INTEGRADOR: MODELADO NUMÉRICO DE 'ROSA PASTEL' (SPOTIFY MÉXICO 2023)</t>
        </is>
      </c>
    </row>
    <row r="2">
      <c r="A2" s="2" t="inlineStr">
        <is>
          <t>Fuente oficial: kworb.net (charts semanales oficiales del Top 200 de Spotify México)</t>
        </is>
      </c>
    </row>
    <row r="3"/>
    <row r="4">
      <c r="A4" s="3" t="inlineStr">
        <is>
          <t>Fecha de Cierre</t>
        </is>
      </c>
      <c r="B4" s="3" t="inlineStr">
        <is>
          <t>Semana (t)</t>
        </is>
      </c>
      <c r="C4" s="3" t="inlineStr">
        <is>
          <t>Streams Semanales (M)</t>
        </is>
      </c>
      <c r="D4" s="3" t="inlineStr">
        <is>
          <t>Streams Acumulados S(t) (M)</t>
        </is>
      </c>
    </row>
    <row r="5">
      <c r="A5" s="4" t="inlineStr">
        <is>
          <t>2023-01-26</t>
        </is>
      </c>
      <c r="B5" s="4" t="n">
        <v>0</v>
      </c>
      <c r="C5" s="5" t="n">
        <v>1.137349</v>
      </c>
      <c r="D5" s="5">
        <f>C5</f>
        <v/>
      </c>
    </row>
    <row r="6">
      <c r="A6" s="4" t="inlineStr">
        <is>
          <t>2023-02-02</t>
        </is>
      </c>
      <c r="B6" s="4" t="n">
        <v>1</v>
      </c>
      <c r="C6" s="5" t="n">
        <v>1.445318</v>
      </c>
      <c r="D6" s="5">
        <f>D5+C6</f>
        <v/>
      </c>
    </row>
    <row r="7">
      <c r="A7" s="4" t="inlineStr">
        <is>
          <t>2023-02-09</t>
        </is>
      </c>
      <c r="B7" s="4" t="n">
        <v>2</v>
      </c>
      <c r="C7" s="5" t="n">
        <v>1.417458</v>
      </c>
      <c r="D7" s="5">
        <f>D6+C7</f>
        <v/>
      </c>
    </row>
    <row r="8">
      <c r="A8" s="4" t="inlineStr">
        <is>
          <t>2023-02-16</t>
        </is>
      </c>
      <c r="B8" s="4" t="n">
        <v>3</v>
      </c>
      <c r="C8" s="5" t="n">
        <v>1.667194</v>
      </c>
      <c r="D8" s="5">
        <f>D7+C8</f>
        <v/>
      </c>
    </row>
    <row r="9">
      <c r="A9" s="4" t="inlineStr">
        <is>
          <t>2023-02-23</t>
        </is>
      </c>
      <c r="B9" s="4" t="n">
        <v>4</v>
      </c>
      <c r="C9" s="5" t="n">
        <v>1.778948</v>
      </c>
      <c r="D9" s="5">
        <f>D8+C9</f>
        <v/>
      </c>
    </row>
    <row r="10">
      <c r="A10" s="4" t="inlineStr">
        <is>
          <t>2023-03-02</t>
        </is>
      </c>
      <c r="B10" s="4" t="n">
        <v>5</v>
      </c>
      <c r="C10" s="5" t="n">
        <v>1.889805</v>
      </c>
      <c r="D10" s="5">
        <f>D9+C10</f>
        <v/>
      </c>
    </row>
    <row r="11">
      <c r="A11" s="4" t="inlineStr">
        <is>
          <t>2023-03-09</t>
        </is>
      </c>
      <c r="B11" s="4" t="n">
        <v>6</v>
      </c>
      <c r="C11" s="5" t="n">
        <v>1.954026</v>
      </c>
      <c r="D11" s="5">
        <f>D10+C11</f>
        <v/>
      </c>
    </row>
    <row r="12">
      <c r="A12" s="4" t="inlineStr">
        <is>
          <t>2023-03-16</t>
        </is>
      </c>
      <c r="B12" s="4" t="n">
        <v>7</v>
      </c>
      <c r="C12" s="5" t="n">
        <v>2.169923</v>
      </c>
      <c r="D12" s="5">
        <f>D11+C12</f>
        <v/>
      </c>
    </row>
    <row r="13">
      <c r="A13" s="4" t="inlineStr">
        <is>
          <t>2023-03-23</t>
        </is>
      </c>
      <c r="B13" s="4" t="n">
        <v>8</v>
      </c>
      <c r="C13" s="5" t="n">
        <v>2.635047</v>
      </c>
      <c r="D13" s="5">
        <f>D12+C13</f>
        <v/>
      </c>
    </row>
    <row r="14">
      <c r="A14" s="4" t="inlineStr">
        <is>
          <t>2023-03-30</t>
        </is>
      </c>
      <c r="B14" s="4" t="n">
        <v>9</v>
      </c>
      <c r="C14" s="5" t="n">
        <v>2.788541</v>
      </c>
      <c r="D14" s="5">
        <f>D13+C14</f>
        <v/>
      </c>
    </row>
    <row r="15">
      <c r="A15" s="4" t="inlineStr">
        <is>
          <t>2023-04-06</t>
        </is>
      </c>
      <c r="B15" s="4" t="n">
        <v>10</v>
      </c>
      <c r="C15" s="5" t="n">
        <v>2.564692</v>
      </c>
      <c r="D15" s="5">
        <f>D14+C15</f>
        <v/>
      </c>
    </row>
    <row r="16">
      <c r="A16" s="4" t="inlineStr">
        <is>
          <t>2023-04-13</t>
        </is>
      </c>
      <c r="B16" s="4" t="n">
        <v>11</v>
      </c>
      <c r="C16" s="5" t="n">
        <v>2.148814</v>
      </c>
      <c r="D16" s="5">
        <f>D15+C16</f>
        <v/>
      </c>
    </row>
    <row r="17">
      <c r="A17" s="4" t="inlineStr">
        <is>
          <t>2023-04-20</t>
        </is>
      </c>
      <c r="B17" s="4" t="n">
        <v>12</v>
      </c>
      <c r="C17" s="5" t="n">
        <v>2.221385</v>
      </c>
      <c r="D17" s="5">
        <f>D16+C17</f>
        <v/>
      </c>
    </row>
    <row r="18">
      <c r="A18" s="4" t="inlineStr">
        <is>
          <t>2023-04-27</t>
        </is>
      </c>
      <c r="B18" s="4" t="n">
        <v>13</v>
      </c>
      <c r="C18" s="5" t="n">
        <v>2.368056</v>
      </c>
      <c r="D18" s="5">
        <f>D17+C18</f>
        <v/>
      </c>
    </row>
    <row r="19">
      <c r="A19" s="4" t="inlineStr">
        <is>
          <t>2023-05-04</t>
        </is>
      </c>
      <c r="B19" s="4" t="n">
        <v>14</v>
      </c>
      <c r="C19" s="5" t="n">
        <v>2.217941</v>
      </c>
      <c r="D19" s="5">
        <f>D18+C19</f>
        <v/>
      </c>
    </row>
    <row r="20">
      <c r="A20" s="4" t="inlineStr">
        <is>
          <t>2023-05-11</t>
        </is>
      </c>
      <c r="B20" s="4" t="n">
        <v>15</v>
      </c>
      <c r="C20" s="5" t="n">
        <v>2.277461</v>
      </c>
      <c r="D20" s="5">
        <f>D19+C20</f>
        <v/>
      </c>
    </row>
    <row r="21">
      <c r="A21" s="4" t="inlineStr">
        <is>
          <t>2023-05-18</t>
        </is>
      </c>
      <c r="B21" s="4" t="n">
        <v>16</v>
      </c>
      <c r="C21" s="5" t="n">
        <v>2.647092</v>
      </c>
      <c r="D21" s="5">
        <f>D20+C21</f>
        <v/>
      </c>
    </row>
    <row r="22">
      <c r="A22" s="4" t="inlineStr">
        <is>
          <t>2023-05-25</t>
        </is>
      </c>
      <c r="B22" s="4" t="n">
        <v>17</v>
      </c>
      <c r="C22" s="5" t="n">
        <v>2.617613</v>
      </c>
      <c r="D22" s="5">
        <f>D21+C22</f>
        <v/>
      </c>
    </row>
    <row r="23">
      <c r="A23" s="4" t="inlineStr">
        <is>
          <t>2023-06-01</t>
        </is>
      </c>
      <c r="B23" s="4" t="n">
        <v>18</v>
      </c>
      <c r="C23" s="5" t="n">
        <v>2.842061</v>
      </c>
      <c r="D23" s="5">
        <f>D22+C23</f>
        <v/>
      </c>
    </row>
    <row r="24">
      <c r="A24" s="4" t="inlineStr">
        <is>
          <t>2023-06-08</t>
        </is>
      </c>
      <c r="B24" s="4" t="n">
        <v>19</v>
      </c>
      <c r="C24" s="5" t="n">
        <v>2.899192</v>
      </c>
      <c r="D24" s="5">
        <f>D23+C24</f>
        <v/>
      </c>
    </row>
    <row r="25">
      <c r="A25" s="4" t="inlineStr">
        <is>
          <t>2023-06-15</t>
        </is>
      </c>
      <c r="B25" s="4" t="n">
        <v>20</v>
      </c>
      <c r="C25" s="5" t="n">
        <v>3.024138</v>
      </c>
      <c r="D25" s="5">
        <f>D24+C25</f>
        <v/>
      </c>
    </row>
    <row r="26">
      <c r="A26" s="4" t="inlineStr">
        <is>
          <t>2023-06-22</t>
        </is>
      </c>
      <c r="B26" s="4" t="n">
        <v>21</v>
      </c>
      <c r="C26" s="5" t="n">
        <v>3.0927</v>
      </c>
      <c r="D26" s="5">
        <f>D25+C26</f>
        <v/>
      </c>
    </row>
    <row r="27">
      <c r="A27" s="4" t="inlineStr">
        <is>
          <t>2023-06-29</t>
        </is>
      </c>
      <c r="B27" s="4" t="n">
        <v>22</v>
      </c>
      <c r="C27" s="5" t="n">
        <v>3.160985</v>
      </c>
      <c r="D27" s="5">
        <f>D26+C27</f>
        <v/>
      </c>
    </row>
    <row r="28">
      <c r="A28" s="4" t="inlineStr">
        <is>
          <t>2023-07-06</t>
        </is>
      </c>
      <c r="B28" s="4" t="n">
        <v>23</v>
      </c>
      <c r="C28" s="5" t="n">
        <v>3.102254</v>
      </c>
      <c r="D28" s="5">
        <f>D27+C28</f>
        <v/>
      </c>
    </row>
    <row r="29">
      <c r="A29" s="4" t="inlineStr">
        <is>
          <t>2023-07-13</t>
        </is>
      </c>
      <c r="B29" s="4" t="n">
        <v>24</v>
      </c>
      <c r="C29" s="5" t="n">
        <v>3.084357</v>
      </c>
      <c r="D29" s="5">
        <f>D28+C29</f>
        <v/>
      </c>
    </row>
    <row r="30">
      <c r="A30" s="4" t="inlineStr">
        <is>
          <t>2023-07-20</t>
        </is>
      </c>
      <c r="B30" s="4" t="n">
        <v>25</v>
      </c>
      <c r="C30" s="5" t="n">
        <v>3.563141</v>
      </c>
      <c r="D30" s="5">
        <f>D29+C30</f>
        <v/>
      </c>
    </row>
    <row r="31">
      <c r="A31" s="4" t="inlineStr">
        <is>
          <t>2023-07-27</t>
        </is>
      </c>
      <c r="B31" s="4" t="n">
        <v>26</v>
      </c>
      <c r="C31" s="5" t="n">
        <v>4.170775</v>
      </c>
      <c r="D31" s="5">
        <f>D30+C31</f>
        <v/>
      </c>
    </row>
    <row r="32">
      <c r="A32" s="4" t="inlineStr">
        <is>
          <t>2023-08-03</t>
        </is>
      </c>
      <c r="B32" s="4" t="n">
        <v>27</v>
      </c>
      <c r="C32" s="5" t="n">
        <v>3.508445</v>
      </c>
      <c r="D32" s="5">
        <f>D31+C32</f>
        <v/>
      </c>
    </row>
    <row r="33">
      <c r="A33" s="4" t="inlineStr">
        <is>
          <t>2023-08-10</t>
        </is>
      </c>
      <c r="B33" s="4" t="n">
        <v>28</v>
      </c>
      <c r="C33" s="5" t="n">
        <v>3.799664</v>
      </c>
      <c r="D33" s="5">
        <f>D32+C33</f>
        <v/>
      </c>
    </row>
    <row r="34">
      <c r="A34" s="4" t="inlineStr">
        <is>
          <t>2023-08-17</t>
        </is>
      </c>
      <c r="B34" s="4" t="n">
        <v>29</v>
      </c>
      <c r="C34" s="5" t="n">
        <v>3.82977</v>
      </c>
      <c r="D34" s="5">
        <f>D33+C34</f>
        <v/>
      </c>
    </row>
    <row r="35">
      <c r="A35" s="4" t="inlineStr">
        <is>
          <t>2023-08-24</t>
        </is>
      </c>
      <c r="B35" s="4" t="n">
        <v>30</v>
      </c>
      <c r="C35" s="5" t="n">
        <v>3.61255</v>
      </c>
      <c r="D35" s="5">
        <f>D34+C35</f>
        <v/>
      </c>
    </row>
    <row r="36">
      <c r="A36" s="4" t="inlineStr">
        <is>
          <t>2023-08-31</t>
        </is>
      </c>
      <c r="B36" s="4" t="n">
        <v>31</v>
      </c>
      <c r="C36" s="5" t="n">
        <v>3.507013</v>
      </c>
      <c r="D36" s="5">
        <f>D35+C36</f>
        <v/>
      </c>
    </row>
    <row r="37">
      <c r="A37" s="4" t="inlineStr">
        <is>
          <t>2023-09-07</t>
        </is>
      </c>
      <c r="B37" s="4" t="n">
        <v>32</v>
      </c>
      <c r="C37" s="5" t="n">
        <v>4.064808</v>
      </c>
      <c r="D37" s="5">
        <f>D36+C37</f>
        <v/>
      </c>
    </row>
    <row r="38">
      <c r="A38" s="4" t="inlineStr">
        <is>
          <t>2023-09-14</t>
        </is>
      </c>
      <c r="B38" s="4" t="n">
        <v>33</v>
      </c>
      <c r="C38" s="5" t="n">
        <v>3.759711</v>
      </c>
      <c r="D38" s="5">
        <f>D37+C38</f>
        <v/>
      </c>
    </row>
    <row r="39">
      <c r="A39" s="4" t="inlineStr">
        <is>
          <t>2023-09-21</t>
        </is>
      </c>
      <c r="B39" s="4" t="n">
        <v>34</v>
      </c>
      <c r="C39" s="5" t="n">
        <v>3.380414</v>
      </c>
      <c r="D39" s="5">
        <f>D38+C39</f>
        <v/>
      </c>
    </row>
    <row r="40">
      <c r="A40" s="4" t="inlineStr">
        <is>
          <t>2023-09-28</t>
        </is>
      </c>
      <c r="B40" s="4" t="n">
        <v>35</v>
      </c>
      <c r="C40" s="5" t="n">
        <v>3.253511</v>
      </c>
      <c r="D40" s="5">
        <f>D39+C40</f>
        <v/>
      </c>
    </row>
    <row r="41">
      <c r="A41" s="4" t="inlineStr">
        <is>
          <t>2023-10-05</t>
        </is>
      </c>
      <c r="B41" s="4" t="n">
        <v>36</v>
      </c>
      <c r="C41" s="5" t="n">
        <v>3.135938</v>
      </c>
      <c r="D41" s="5">
        <f>D40+C41</f>
        <v/>
      </c>
    </row>
    <row r="42">
      <c r="A42" s="4" t="inlineStr">
        <is>
          <t>2023-10-12</t>
        </is>
      </c>
      <c r="B42" s="4" t="n">
        <v>37</v>
      </c>
      <c r="C42" s="5" t="n">
        <v>2.962324</v>
      </c>
      <c r="D42" s="5">
        <f>D41+C42</f>
        <v/>
      </c>
    </row>
    <row r="43">
      <c r="A43" s="4" t="inlineStr">
        <is>
          <t>2023-10-19</t>
        </is>
      </c>
      <c r="B43" s="4" t="n">
        <v>38</v>
      </c>
      <c r="C43" s="5" t="n">
        <v>2.770651</v>
      </c>
      <c r="D43" s="5">
        <f>D42+C43</f>
        <v/>
      </c>
    </row>
    <row r="44">
      <c r="A44" s="4" t="inlineStr">
        <is>
          <t>2023-10-26</t>
        </is>
      </c>
      <c r="B44" s="4" t="n">
        <v>39</v>
      </c>
      <c r="C44" s="5" t="n">
        <v>2.736409</v>
      </c>
      <c r="D44" s="5">
        <f>D43+C44</f>
        <v/>
      </c>
    </row>
    <row r="45">
      <c r="A45" s="4" t="inlineStr">
        <is>
          <t>2023-11-02</t>
        </is>
      </c>
      <c r="B45" s="4" t="n">
        <v>40</v>
      </c>
      <c r="C45" s="5" t="n">
        <v>3.060277</v>
      </c>
      <c r="D45" s="5">
        <f>D44+C45</f>
        <v/>
      </c>
    </row>
    <row r="46">
      <c r="A46" s="4" t="inlineStr">
        <is>
          <t>2023-11-09</t>
        </is>
      </c>
      <c r="B46" s="4" t="n">
        <v>41</v>
      </c>
      <c r="C46" s="5" t="n">
        <v>3.068245</v>
      </c>
      <c r="D46" s="5">
        <f>D45+C46</f>
        <v/>
      </c>
    </row>
    <row r="47">
      <c r="A47" s="4" t="inlineStr">
        <is>
          <t>2023-11-16</t>
        </is>
      </c>
      <c r="B47" s="4" t="n">
        <v>42</v>
      </c>
      <c r="C47" s="5" t="n">
        <v>3.244273</v>
      </c>
      <c r="D47" s="5">
        <f>D46+C47</f>
        <v/>
      </c>
    </row>
    <row r="48">
      <c r="A48" s="4" t="inlineStr">
        <is>
          <t>2023-11-23</t>
        </is>
      </c>
      <c r="B48" s="4" t="n">
        <v>43</v>
      </c>
      <c r="C48" s="5" t="n">
        <v>3.0518</v>
      </c>
      <c r="D48" s="5">
        <f>D47+C48</f>
        <v/>
      </c>
    </row>
    <row r="49">
      <c r="A49" s="4" t="inlineStr">
        <is>
          <t>2023-11-30</t>
        </is>
      </c>
      <c r="B49" s="4" t="n">
        <v>44</v>
      </c>
      <c r="C49" s="5" t="n">
        <v>3.246738</v>
      </c>
      <c r="D49" s="5">
        <f>D48+C49</f>
        <v/>
      </c>
    </row>
    <row r="50">
      <c r="A50" s="4" t="inlineStr">
        <is>
          <t>2023-12-07</t>
        </is>
      </c>
      <c r="B50" s="4" t="n">
        <v>45</v>
      </c>
      <c r="C50" s="5" t="n">
        <v>3.206277</v>
      </c>
      <c r="D50" s="5">
        <f>D49+C50</f>
        <v/>
      </c>
    </row>
    <row r="51">
      <c r="A51" s="4" t="inlineStr">
        <is>
          <t>2023-12-14</t>
        </is>
      </c>
      <c r="B51" s="4" t="n">
        <v>46</v>
      </c>
      <c r="C51" s="5" t="n">
        <v>2.811829</v>
      </c>
      <c r="D51" s="6">
        <f>D50+C51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45" customWidth="1" min="3" max="3"/>
    <col width="22" customWidth="1" min="4" max="4"/>
    <col width="19" customWidth="1" min="5" max="5"/>
    <col width="31" customWidth="1" min="6" max="6"/>
    <col width="11" customWidth="1" min="7" max="7"/>
    <col width="31" customWidth="1" min="8" max="8"/>
    <col width="25" customWidth="1" min="9" max="9"/>
  </cols>
  <sheetData>
    <row r="1">
      <c r="A1" s="1" t="inlineStr">
        <is>
          <t>AJUSTE DE CURVAS: REGRESIÓN POLINÓMICA CÚBICA (MÍNIMOS CUADRADOS)</t>
        </is>
      </c>
    </row>
    <row r="2">
      <c r="A2" s="2" t="inlineStr">
        <is>
          <t>Modelo continuo: S(t) = a*t^3 + b*t^2 + c*t + d</t>
        </is>
      </c>
    </row>
    <row r="3"/>
    <row r="4">
      <c r="A4" s="3" t="inlineStr">
        <is>
          <t>t</t>
        </is>
      </c>
      <c r="B4" s="3" t="inlineStr">
        <is>
          <t>S(t) Real (M)</t>
        </is>
      </c>
      <c r="C4" s="3" t="inlineStr">
        <is>
          <t>S(t) Modelo (M)</t>
        </is>
      </c>
      <c r="D4" s="3" t="inlineStr">
        <is>
          <t>Residuo (S - S_mod)</t>
        </is>
      </c>
      <c r="E4" s="3" t="inlineStr">
        <is>
          <t>Residuo^2 [Sr_i]</t>
        </is>
      </c>
      <c r="F4" s="3" t="inlineStr">
        <is>
          <t>(S - Media)^2 [St_i]</t>
        </is>
      </c>
      <c r="H4" s="7" t="inlineStr">
        <is>
          <t>Parámetro</t>
        </is>
      </c>
      <c r="I4" s="7" t="inlineStr">
        <is>
          <t>Valor</t>
        </is>
      </c>
    </row>
    <row r="5">
      <c r="A5" s="4">
        <f>Datos!B5</f>
        <v/>
      </c>
      <c r="B5" s="5">
        <f>Datos!D5</f>
        <v/>
      </c>
      <c r="C5" s="5">
        <f>$I$5*A5^3 + $I$6*A5^2 + $I$7*A5 + $I$8</f>
        <v/>
      </c>
      <c r="D5" s="8">
        <f>B5-C5</f>
        <v/>
      </c>
      <c r="E5" s="8">
        <f>D5^2</f>
        <v/>
      </c>
      <c r="F5" s="9">
        <f>(B5-AVERAGE($B$5:$B$51))^2</f>
        <v/>
      </c>
      <c r="H5" s="10" t="inlineStr">
        <is>
          <t>a (t^3)</t>
        </is>
      </c>
      <c r="I5" s="11" t="n">
        <v>-0.0008389211982384948</v>
      </c>
    </row>
    <row r="6">
      <c r="A6" s="4">
        <f>Datos!B6</f>
        <v/>
      </c>
      <c r="B6" s="5">
        <f>Datos!D6</f>
        <v/>
      </c>
      <c r="C6" s="5">
        <f>$I$5*A6^3 + $I$6*A6^2 + $I$7*A6 + $I$8</f>
        <v/>
      </c>
      <c r="D6" s="8">
        <f>B6-C6</f>
        <v/>
      </c>
      <c r="E6" s="8">
        <f>D6^2</f>
        <v/>
      </c>
      <c r="F6" s="9">
        <f>(B6-AVERAGE($B$5:$B$51))^2</f>
        <v/>
      </c>
      <c r="H6" s="10" t="inlineStr">
        <is>
          <t>b (t^2)</t>
        </is>
      </c>
      <c r="I6" s="11" t="n">
        <v>0.07697699676726283</v>
      </c>
    </row>
    <row r="7">
      <c r="A7" s="4">
        <f>Datos!B7</f>
        <v/>
      </c>
      <c r="B7" s="5">
        <f>Datos!D7</f>
        <v/>
      </c>
      <c r="C7" s="5">
        <f>$I$5*A7^3 + $I$6*A7^2 + $I$7*A7 + $I$8</f>
        <v/>
      </c>
      <c r="D7" s="8">
        <f>B7-C7</f>
        <v/>
      </c>
      <c r="E7" s="8">
        <f>D7^2</f>
        <v/>
      </c>
      <c r="F7" s="9">
        <f>(B7-AVERAGE($B$5:$B$51))^2</f>
        <v/>
      </c>
      <c r="H7" s="10" t="inlineStr">
        <is>
          <t>c (t)</t>
        </is>
      </c>
      <c r="I7" s="11" t="n">
        <v>1.081161783060555</v>
      </c>
    </row>
    <row r="8">
      <c r="A8" s="4">
        <f>Datos!B8</f>
        <v/>
      </c>
      <c r="B8" s="5">
        <f>Datos!D8</f>
        <v/>
      </c>
      <c r="C8" s="5">
        <f>$I$5*A8^3 + $I$6*A8^2 + $I$7*A8 + $I$8</f>
        <v/>
      </c>
      <c r="D8" s="8">
        <f>B8-C8</f>
        <v/>
      </c>
      <c r="E8" s="8">
        <f>D8^2</f>
        <v/>
      </c>
      <c r="F8" s="9">
        <f>(B8-AVERAGE($B$5:$B$51))^2</f>
        <v/>
      </c>
      <c r="H8" s="10" t="inlineStr">
        <is>
          <t>d (ind)</t>
        </is>
      </c>
      <c r="I8" s="11" t="n">
        <v>2.072897705927034</v>
      </c>
    </row>
    <row r="9">
      <c r="A9" s="4">
        <f>Datos!B9</f>
        <v/>
      </c>
      <c r="B9" s="5">
        <f>Datos!D9</f>
        <v/>
      </c>
      <c r="C9" s="5">
        <f>$I$5*A9^3 + $I$6*A9^2 + $I$7*A9 + $I$8</f>
        <v/>
      </c>
      <c r="D9" s="8">
        <f>B9-C9</f>
        <v/>
      </c>
      <c r="E9" s="8">
        <f>D9^2</f>
        <v/>
      </c>
      <c r="F9" s="9">
        <f>(B9-AVERAGE($B$5:$B$51))^2</f>
        <v/>
      </c>
      <c r="H9" s="10" t="inlineStr">
        <is>
          <t>n (observaciones)</t>
        </is>
      </c>
      <c r="I9" s="12" t="n">
        <v>47</v>
      </c>
    </row>
    <row r="10">
      <c r="A10" s="4">
        <f>Datos!B10</f>
        <v/>
      </c>
      <c r="B10" s="5">
        <f>Datos!D10</f>
        <v/>
      </c>
      <c r="C10" s="5">
        <f>$I$5*A10^3 + $I$6*A10^2 + $I$7*A10 + $I$8</f>
        <v/>
      </c>
      <c r="D10" s="8">
        <f>B10-C10</f>
        <v/>
      </c>
      <c r="E10" s="8">
        <f>D10^2</f>
        <v/>
      </c>
      <c r="F10" s="9">
        <f>(B10-AVERAGE($B$5:$B$51))^2</f>
        <v/>
      </c>
    </row>
    <row r="11">
      <c r="A11" s="4">
        <f>Datos!B11</f>
        <v/>
      </c>
      <c r="B11" s="5">
        <f>Datos!D11</f>
        <v/>
      </c>
      <c r="C11" s="5">
        <f>$I$5*A11^3 + $I$6*A11^2 + $I$7*A11 + $I$8</f>
        <v/>
      </c>
      <c r="D11" s="8">
        <f>B11-C11</f>
        <v/>
      </c>
      <c r="E11" s="8">
        <f>D11^2</f>
        <v/>
      </c>
      <c r="F11" s="9">
        <f>(B11-AVERAGE($B$5:$B$51))^2</f>
        <v/>
      </c>
      <c r="H11" s="7" t="inlineStr">
        <is>
          <t>Estadístico</t>
        </is>
      </c>
      <c r="I11" s="7" t="inlineStr">
        <is>
          <t>Fórmula / Valor</t>
        </is>
      </c>
    </row>
    <row r="12">
      <c r="A12" s="4">
        <f>Datos!B12</f>
        <v/>
      </c>
      <c r="B12" s="5">
        <f>Datos!D12</f>
        <v/>
      </c>
      <c r="C12" s="5">
        <f>$I$5*A12^3 + $I$6*A12^2 + $I$7*A12 + $I$8</f>
        <v/>
      </c>
      <c r="D12" s="8">
        <f>B12-C12</f>
        <v/>
      </c>
      <c r="E12" s="8">
        <f>D12^2</f>
        <v/>
      </c>
      <c r="F12" s="9">
        <f>(B12-AVERAGE($B$5:$B$51))^2</f>
        <v/>
      </c>
      <c r="H12" s="10" t="inlineStr">
        <is>
          <t>Sr (Suma Cuadrados Residuos)</t>
        </is>
      </c>
      <c r="I12" s="8">
        <f>SUM(E5:E51)</f>
        <v/>
      </c>
    </row>
    <row r="13">
      <c r="A13" s="4">
        <f>Datos!B13</f>
        <v/>
      </c>
      <c r="B13" s="5">
        <f>Datos!D13</f>
        <v/>
      </c>
      <c r="C13" s="5">
        <f>$I$5*A13^3 + $I$6*A13^2 + $I$7*A13 + $I$8</f>
        <v/>
      </c>
      <c r="D13" s="8">
        <f>B13-C13</f>
        <v/>
      </c>
      <c r="E13" s="8">
        <f>D13^2</f>
        <v/>
      </c>
      <c r="F13" s="9">
        <f>(B13-AVERAGE($B$5:$B$51))^2</f>
        <v/>
      </c>
      <c r="H13" s="10" t="inlineStr">
        <is>
          <t>St (Suma Total de Cuadrados)</t>
        </is>
      </c>
      <c r="I13" s="9">
        <f>SUM(F5:F51)</f>
        <v/>
      </c>
    </row>
    <row r="14">
      <c r="A14" s="4">
        <f>Datos!B14</f>
        <v/>
      </c>
      <c r="B14" s="5">
        <f>Datos!D14</f>
        <v/>
      </c>
      <c r="C14" s="5">
        <f>$I$5*A14^3 + $I$6*A14^2 + $I$7*A14 + $I$8</f>
        <v/>
      </c>
      <c r="D14" s="8">
        <f>B14-C14</f>
        <v/>
      </c>
      <c r="E14" s="8">
        <f>D14^2</f>
        <v/>
      </c>
      <c r="F14" s="9">
        <f>(B14-AVERAGE($B$5:$B$51))^2</f>
        <v/>
      </c>
      <c r="H14" s="10" t="inlineStr">
        <is>
          <t>R^2 (Coef. de Determinación)</t>
        </is>
      </c>
      <c r="I14" s="13">
        <f>1-(I12/I13)</f>
        <v/>
      </c>
    </row>
    <row r="15">
      <c r="A15" s="4">
        <f>Datos!B15</f>
        <v/>
      </c>
      <c r="B15" s="5">
        <f>Datos!D15</f>
        <v/>
      </c>
      <c r="C15" s="5">
        <f>$I$5*A15^3 + $I$6*A15^2 + $I$7*A15 + $I$8</f>
        <v/>
      </c>
      <c r="D15" s="8">
        <f>B15-C15</f>
        <v/>
      </c>
      <c r="E15" s="8">
        <f>D15^2</f>
        <v/>
      </c>
      <c r="F15" s="9">
        <f>(B15-AVERAGE($B$5:$B$51))^2</f>
        <v/>
      </c>
      <c r="H15" s="10" t="inlineStr">
        <is>
          <t>R^2 Porcentual</t>
        </is>
      </c>
      <c r="I15" s="14">
        <f>I14*100</f>
        <v/>
      </c>
    </row>
    <row r="16">
      <c r="A16" s="4">
        <f>Datos!B16</f>
        <v/>
      </c>
      <c r="B16" s="5">
        <f>Datos!D16</f>
        <v/>
      </c>
      <c r="C16" s="5">
        <f>$I$5*A16^3 + $I$6*A16^2 + $I$7*A16 + $I$8</f>
        <v/>
      </c>
      <c r="D16" s="8">
        <f>B16-C16</f>
        <v/>
      </c>
      <c r="E16" s="8">
        <f>D16^2</f>
        <v/>
      </c>
      <c r="F16" s="9">
        <f>(B16-AVERAGE($B$5:$B$51))^2</f>
        <v/>
      </c>
      <c r="H16" s="10" t="inlineStr">
        <is>
          <t>Sy/x (Error Estándar M)</t>
        </is>
      </c>
      <c r="I16" s="8">
        <f>SQRT(I12/(I9-4))</f>
        <v/>
      </c>
    </row>
    <row r="17">
      <c r="A17" s="4">
        <f>Datos!B17</f>
        <v/>
      </c>
      <c r="B17" s="5">
        <f>Datos!D17</f>
        <v/>
      </c>
      <c r="C17" s="5">
        <f>$I$5*A17^3 + $I$6*A17^2 + $I$7*A17 + $I$8</f>
        <v/>
      </c>
      <c r="D17" s="8">
        <f>B17-C17</f>
        <v/>
      </c>
      <c r="E17" s="8">
        <f>D17^2</f>
        <v/>
      </c>
      <c r="F17" s="9">
        <f>(B17-AVERAGE($B$5:$B$51))^2</f>
        <v/>
      </c>
    </row>
    <row r="18">
      <c r="A18" s="4">
        <f>Datos!B18</f>
        <v/>
      </c>
      <c r="B18" s="5">
        <f>Datos!D18</f>
        <v/>
      </c>
      <c r="C18" s="5">
        <f>$I$5*A18^3 + $I$6*A18^2 + $I$7*A18 + $I$8</f>
        <v/>
      </c>
      <c r="D18" s="8">
        <f>B18-C18</f>
        <v/>
      </c>
      <c r="E18" s="8">
        <f>D18^2</f>
        <v/>
      </c>
      <c r="F18" s="9">
        <f>(B18-AVERAGE($B$5:$B$51))^2</f>
        <v/>
      </c>
    </row>
    <row r="19">
      <c r="A19" s="4">
        <f>Datos!B19</f>
        <v/>
      </c>
      <c r="B19" s="5">
        <f>Datos!D19</f>
        <v/>
      </c>
      <c r="C19" s="5">
        <f>$I$5*A19^3 + $I$6*A19^2 + $I$7*A19 + $I$8</f>
        <v/>
      </c>
      <c r="D19" s="8">
        <f>B19-C19</f>
        <v/>
      </c>
      <c r="E19" s="8">
        <f>D19^2</f>
        <v/>
      </c>
      <c r="F19" s="9">
        <f>(B19-AVERAGE($B$5:$B$51))^2</f>
        <v/>
      </c>
    </row>
    <row r="20">
      <c r="A20" s="4">
        <f>Datos!B20</f>
        <v/>
      </c>
      <c r="B20" s="5">
        <f>Datos!D20</f>
        <v/>
      </c>
      <c r="C20" s="5">
        <f>$I$5*A20^3 + $I$6*A20^2 + $I$7*A20 + $I$8</f>
        <v/>
      </c>
      <c r="D20" s="8">
        <f>B20-C20</f>
        <v/>
      </c>
      <c r="E20" s="8">
        <f>D20^2</f>
        <v/>
      </c>
      <c r="F20" s="9">
        <f>(B20-AVERAGE($B$5:$B$51))^2</f>
        <v/>
      </c>
    </row>
    <row r="21">
      <c r="A21" s="4">
        <f>Datos!B21</f>
        <v/>
      </c>
      <c r="B21" s="5">
        <f>Datos!D21</f>
        <v/>
      </c>
      <c r="C21" s="5">
        <f>$I$5*A21^3 + $I$6*A21^2 + $I$7*A21 + $I$8</f>
        <v/>
      </c>
      <c r="D21" s="8">
        <f>B21-C21</f>
        <v/>
      </c>
      <c r="E21" s="8">
        <f>D21^2</f>
        <v/>
      </c>
      <c r="F21" s="9">
        <f>(B21-AVERAGE($B$5:$B$51))^2</f>
        <v/>
      </c>
    </row>
    <row r="22">
      <c r="A22" s="4">
        <f>Datos!B22</f>
        <v/>
      </c>
      <c r="B22" s="5">
        <f>Datos!D22</f>
        <v/>
      </c>
      <c r="C22" s="5">
        <f>$I$5*A22^3 + $I$6*A22^2 + $I$7*A22 + $I$8</f>
        <v/>
      </c>
      <c r="D22" s="8">
        <f>B22-C22</f>
        <v/>
      </c>
      <c r="E22" s="8">
        <f>D22^2</f>
        <v/>
      </c>
      <c r="F22" s="9">
        <f>(B22-AVERAGE($B$5:$B$51))^2</f>
        <v/>
      </c>
    </row>
    <row r="23">
      <c r="A23" s="4">
        <f>Datos!B23</f>
        <v/>
      </c>
      <c r="B23" s="5">
        <f>Datos!D23</f>
        <v/>
      </c>
      <c r="C23" s="5">
        <f>$I$5*A23^3 + $I$6*A23^2 + $I$7*A23 + $I$8</f>
        <v/>
      </c>
      <c r="D23" s="8">
        <f>B23-C23</f>
        <v/>
      </c>
      <c r="E23" s="8">
        <f>D23^2</f>
        <v/>
      </c>
      <c r="F23" s="9">
        <f>(B23-AVERAGE($B$5:$B$51))^2</f>
        <v/>
      </c>
    </row>
    <row r="24">
      <c r="A24" s="4">
        <f>Datos!B24</f>
        <v/>
      </c>
      <c r="B24" s="5">
        <f>Datos!D24</f>
        <v/>
      </c>
      <c r="C24" s="5">
        <f>$I$5*A24^3 + $I$6*A24^2 + $I$7*A24 + $I$8</f>
        <v/>
      </c>
      <c r="D24" s="8">
        <f>B24-C24</f>
        <v/>
      </c>
      <c r="E24" s="8">
        <f>D24^2</f>
        <v/>
      </c>
      <c r="F24" s="9">
        <f>(B24-AVERAGE($B$5:$B$51))^2</f>
        <v/>
      </c>
    </row>
    <row r="25">
      <c r="A25" s="4">
        <f>Datos!B25</f>
        <v/>
      </c>
      <c r="B25" s="5">
        <f>Datos!D25</f>
        <v/>
      </c>
      <c r="C25" s="5">
        <f>$I$5*A25^3 + $I$6*A25^2 + $I$7*A25 + $I$8</f>
        <v/>
      </c>
      <c r="D25" s="8">
        <f>B25-C25</f>
        <v/>
      </c>
      <c r="E25" s="8">
        <f>D25^2</f>
        <v/>
      </c>
      <c r="F25" s="9">
        <f>(B25-AVERAGE($B$5:$B$51))^2</f>
        <v/>
      </c>
    </row>
    <row r="26">
      <c r="A26" s="4">
        <f>Datos!B26</f>
        <v/>
      </c>
      <c r="B26" s="5">
        <f>Datos!D26</f>
        <v/>
      </c>
      <c r="C26" s="5">
        <f>$I$5*A26^3 + $I$6*A26^2 + $I$7*A26 + $I$8</f>
        <v/>
      </c>
      <c r="D26" s="8">
        <f>B26-C26</f>
        <v/>
      </c>
      <c r="E26" s="8">
        <f>D26^2</f>
        <v/>
      </c>
      <c r="F26" s="9">
        <f>(B26-AVERAGE($B$5:$B$51))^2</f>
        <v/>
      </c>
    </row>
    <row r="27">
      <c r="A27" s="4">
        <f>Datos!B27</f>
        <v/>
      </c>
      <c r="B27" s="5">
        <f>Datos!D27</f>
        <v/>
      </c>
      <c r="C27" s="5">
        <f>$I$5*A27^3 + $I$6*A27^2 + $I$7*A27 + $I$8</f>
        <v/>
      </c>
      <c r="D27" s="8">
        <f>B27-C27</f>
        <v/>
      </c>
      <c r="E27" s="8">
        <f>D27^2</f>
        <v/>
      </c>
      <c r="F27" s="9">
        <f>(B27-AVERAGE($B$5:$B$51))^2</f>
        <v/>
      </c>
    </row>
    <row r="28">
      <c r="A28" s="4">
        <f>Datos!B28</f>
        <v/>
      </c>
      <c r="B28" s="5">
        <f>Datos!D28</f>
        <v/>
      </c>
      <c r="C28" s="5">
        <f>$I$5*A28^3 + $I$6*A28^2 + $I$7*A28 + $I$8</f>
        <v/>
      </c>
      <c r="D28" s="8">
        <f>B28-C28</f>
        <v/>
      </c>
      <c r="E28" s="8">
        <f>D28^2</f>
        <v/>
      </c>
      <c r="F28" s="9">
        <f>(B28-AVERAGE($B$5:$B$51))^2</f>
        <v/>
      </c>
    </row>
    <row r="29">
      <c r="A29" s="4">
        <f>Datos!B29</f>
        <v/>
      </c>
      <c r="B29" s="5">
        <f>Datos!D29</f>
        <v/>
      </c>
      <c r="C29" s="5">
        <f>$I$5*A29^3 + $I$6*A29^2 + $I$7*A29 + $I$8</f>
        <v/>
      </c>
      <c r="D29" s="8">
        <f>B29-C29</f>
        <v/>
      </c>
      <c r="E29" s="8">
        <f>D29^2</f>
        <v/>
      </c>
      <c r="F29" s="9">
        <f>(B29-AVERAGE($B$5:$B$51))^2</f>
        <v/>
      </c>
    </row>
    <row r="30">
      <c r="A30" s="4">
        <f>Datos!B30</f>
        <v/>
      </c>
      <c r="B30" s="5">
        <f>Datos!D30</f>
        <v/>
      </c>
      <c r="C30" s="5">
        <f>$I$5*A30^3 + $I$6*A30^2 + $I$7*A30 + $I$8</f>
        <v/>
      </c>
      <c r="D30" s="8">
        <f>B30-C30</f>
        <v/>
      </c>
      <c r="E30" s="8">
        <f>D30^2</f>
        <v/>
      </c>
      <c r="F30" s="9">
        <f>(B30-AVERAGE($B$5:$B$51))^2</f>
        <v/>
      </c>
    </row>
    <row r="31">
      <c r="A31" s="4">
        <f>Datos!B31</f>
        <v/>
      </c>
      <c r="B31" s="5">
        <f>Datos!D31</f>
        <v/>
      </c>
      <c r="C31" s="5">
        <f>$I$5*A31^3 + $I$6*A31^2 + $I$7*A31 + $I$8</f>
        <v/>
      </c>
      <c r="D31" s="8">
        <f>B31-C31</f>
        <v/>
      </c>
      <c r="E31" s="8">
        <f>D31^2</f>
        <v/>
      </c>
      <c r="F31" s="9">
        <f>(B31-AVERAGE($B$5:$B$51))^2</f>
        <v/>
      </c>
    </row>
    <row r="32">
      <c r="A32" s="4">
        <f>Datos!B32</f>
        <v/>
      </c>
      <c r="B32" s="5">
        <f>Datos!D32</f>
        <v/>
      </c>
      <c r="C32" s="5">
        <f>$I$5*A32^3 + $I$6*A32^2 + $I$7*A32 + $I$8</f>
        <v/>
      </c>
      <c r="D32" s="8">
        <f>B32-C32</f>
        <v/>
      </c>
      <c r="E32" s="8">
        <f>D32^2</f>
        <v/>
      </c>
      <c r="F32" s="9">
        <f>(B32-AVERAGE($B$5:$B$51))^2</f>
        <v/>
      </c>
    </row>
    <row r="33">
      <c r="A33" s="4">
        <f>Datos!B33</f>
        <v/>
      </c>
      <c r="B33" s="5">
        <f>Datos!D33</f>
        <v/>
      </c>
      <c r="C33" s="5">
        <f>$I$5*A33^3 + $I$6*A33^2 + $I$7*A33 + $I$8</f>
        <v/>
      </c>
      <c r="D33" s="8">
        <f>B33-C33</f>
        <v/>
      </c>
      <c r="E33" s="8">
        <f>D33^2</f>
        <v/>
      </c>
      <c r="F33" s="9">
        <f>(B33-AVERAGE($B$5:$B$51))^2</f>
        <v/>
      </c>
    </row>
    <row r="34">
      <c r="A34" s="4">
        <f>Datos!B34</f>
        <v/>
      </c>
      <c r="B34" s="5">
        <f>Datos!D34</f>
        <v/>
      </c>
      <c r="C34" s="5">
        <f>$I$5*A34^3 + $I$6*A34^2 + $I$7*A34 + $I$8</f>
        <v/>
      </c>
      <c r="D34" s="8">
        <f>B34-C34</f>
        <v/>
      </c>
      <c r="E34" s="8">
        <f>D34^2</f>
        <v/>
      </c>
      <c r="F34" s="9">
        <f>(B34-AVERAGE($B$5:$B$51))^2</f>
        <v/>
      </c>
    </row>
    <row r="35">
      <c r="A35" s="4">
        <f>Datos!B35</f>
        <v/>
      </c>
      <c r="B35" s="5">
        <f>Datos!D35</f>
        <v/>
      </c>
      <c r="C35" s="5">
        <f>$I$5*A35^3 + $I$6*A35^2 + $I$7*A35 + $I$8</f>
        <v/>
      </c>
      <c r="D35" s="8">
        <f>B35-C35</f>
        <v/>
      </c>
      <c r="E35" s="8">
        <f>D35^2</f>
        <v/>
      </c>
      <c r="F35" s="9">
        <f>(B35-AVERAGE($B$5:$B$51))^2</f>
        <v/>
      </c>
    </row>
    <row r="36">
      <c r="A36" s="4">
        <f>Datos!B36</f>
        <v/>
      </c>
      <c r="B36" s="5">
        <f>Datos!D36</f>
        <v/>
      </c>
      <c r="C36" s="5">
        <f>$I$5*A36^3 + $I$6*A36^2 + $I$7*A36 + $I$8</f>
        <v/>
      </c>
      <c r="D36" s="8">
        <f>B36-C36</f>
        <v/>
      </c>
      <c r="E36" s="8">
        <f>D36^2</f>
        <v/>
      </c>
      <c r="F36" s="9">
        <f>(B36-AVERAGE($B$5:$B$51))^2</f>
        <v/>
      </c>
    </row>
    <row r="37">
      <c r="A37" s="4">
        <f>Datos!B37</f>
        <v/>
      </c>
      <c r="B37" s="5">
        <f>Datos!D37</f>
        <v/>
      </c>
      <c r="C37" s="5">
        <f>$I$5*A37^3 + $I$6*A37^2 + $I$7*A37 + $I$8</f>
        <v/>
      </c>
      <c r="D37" s="8">
        <f>B37-C37</f>
        <v/>
      </c>
      <c r="E37" s="8">
        <f>D37^2</f>
        <v/>
      </c>
      <c r="F37" s="9">
        <f>(B37-AVERAGE($B$5:$B$51))^2</f>
        <v/>
      </c>
    </row>
    <row r="38">
      <c r="A38" s="4">
        <f>Datos!B38</f>
        <v/>
      </c>
      <c r="B38" s="5">
        <f>Datos!D38</f>
        <v/>
      </c>
      <c r="C38" s="5">
        <f>$I$5*A38^3 + $I$6*A38^2 + $I$7*A38 + $I$8</f>
        <v/>
      </c>
      <c r="D38" s="8">
        <f>B38-C38</f>
        <v/>
      </c>
      <c r="E38" s="8">
        <f>D38^2</f>
        <v/>
      </c>
      <c r="F38" s="9">
        <f>(B38-AVERAGE($B$5:$B$51))^2</f>
        <v/>
      </c>
    </row>
    <row r="39">
      <c r="A39" s="4">
        <f>Datos!B39</f>
        <v/>
      </c>
      <c r="B39" s="5">
        <f>Datos!D39</f>
        <v/>
      </c>
      <c r="C39" s="5">
        <f>$I$5*A39^3 + $I$6*A39^2 + $I$7*A39 + $I$8</f>
        <v/>
      </c>
      <c r="D39" s="8">
        <f>B39-C39</f>
        <v/>
      </c>
      <c r="E39" s="8">
        <f>D39^2</f>
        <v/>
      </c>
      <c r="F39" s="9">
        <f>(B39-AVERAGE($B$5:$B$51))^2</f>
        <v/>
      </c>
    </row>
    <row r="40">
      <c r="A40" s="4">
        <f>Datos!B40</f>
        <v/>
      </c>
      <c r="B40" s="5">
        <f>Datos!D40</f>
        <v/>
      </c>
      <c r="C40" s="5">
        <f>$I$5*A40^3 + $I$6*A40^2 + $I$7*A40 + $I$8</f>
        <v/>
      </c>
      <c r="D40" s="8">
        <f>B40-C40</f>
        <v/>
      </c>
      <c r="E40" s="8">
        <f>D40^2</f>
        <v/>
      </c>
      <c r="F40" s="9">
        <f>(B40-AVERAGE($B$5:$B$51))^2</f>
        <v/>
      </c>
    </row>
    <row r="41">
      <c r="A41" s="4">
        <f>Datos!B41</f>
        <v/>
      </c>
      <c r="B41" s="5">
        <f>Datos!D41</f>
        <v/>
      </c>
      <c r="C41" s="5">
        <f>$I$5*A41^3 + $I$6*A41^2 + $I$7*A41 + $I$8</f>
        <v/>
      </c>
      <c r="D41" s="8">
        <f>B41-C41</f>
        <v/>
      </c>
      <c r="E41" s="8">
        <f>D41^2</f>
        <v/>
      </c>
      <c r="F41" s="9">
        <f>(B41-AVERAGE($B$5:$B$51))^2</f>
        <v/>
      </c>
    </row>
    <row r="42">
      <c r="A42" s="4">
        <f>Datos!B42</f>
        <v/>
      </c>
      <c r="B42" s="5">
        <f>Datos!D42</f>
        <v/>
      </c>
      <c r="C42" s="5">
        <f>$I$5*A42^3 + $I$6*A42^2 + $I$7*A42 + $I$8</f>
        <v/>
      </c>
      <c r="D42" s="8">
        <f>B42-C42</f>
        <v/>
      </c>
      <c r="E42" s="8">
        <f>D42^2</f>
        <v/>
      </c>
      <c r="F42" s="9">
        <f>(B42-AVERAGE($B$5:$B$51))^2</f>
        <v/>
      </c>
    </row>
    <row r="43">
      <c r="A43" s="4">
        <f>Datos!B43</f>
        <v/>
      </c>
      <c r="B43" s="5">
        <f>Datos!D43</f>
        <v/>
      </c>
      <c r="C43" s="5">
        <f>$I$5*A43^3 + $I$6*A43^2 + $I$7*A43 + $I$8</f>
        <v/>
      </c>
      <c r="D43" s="8">
        <f>B43-C43</f>
        <v/>
      </c>
      <c r="E43" s="8">
        <f>D43^2</f>
        <v/>
      </c>
      <c r="F43" s="9">
        <f>(B43-AVERAGE($B$5:$B$51))^2</f>
        <v/>
      </c>
    </row>
    <row r="44">
      <c r="A44" s="4">
        <f>Datos!B44</f>
        <v/>
      </c>
      <c r="B44" s="5">
        <f>Datos!D44</f>
        <v/>
      </c>
      <c r="C44" s="5">
        <f>$I$5*A44^3 + $I$6*A44^2 + $I$7*A44 + $I$8</f>
        <v/>
      </c>
      <c r="D44" s="8">
        <f>B44-C44</f>
        <v/>
      </c>
      <c r="E44" s="8">
        <f>D44^2</f>
        <v/>
      </c>
      <c r="F44" s="9">
        <f>(B44-AVERAGE($B$5:$B$51))^2</f>
        <v/>
      </c>
    </row>
    <row r="45">
      <c r="A45" s="4">
        <f>Datos!B45</f>
        <v/>
      </c>
      <c r="B45" s="5">
        <f>Datos!D45</f>
        <v/>
      </c>
      <c r="C45" s="5">
        <f>$I$5*A45^3 + $I$6*A45^2 + $I$7*A45 + $I$8</f>
        <v/>
      </c>
      <c r="D45" s="8">
        <f>B45-C45</f>
        <v/>
      </c>
      <c r="E45" s="8">
        <f>D45^2</f>
        <v/>
      </c>
      <c r="F45" s="9">
        <f>(B45-AVERAGE($B$5:$B$51))^2</f>
        <v/>
      </c>
    </row>
    <row r="46">
      <c r="A46" s="4">
        <f>Datos!B46</f>
        <v/>
      </c>
      <c r="B46" s="5">
        <f>Datos!D46</f>
        <v/>
      </c>
      <c r="C46" s="5">
        <f>$I$5*A46^3 + $I$6*A46^2 + $I$7*A46 + $I$8</f>
        <v/>
      </c>
      <c r="D46" s="8">
        <f>B46-C46</f>
        <v/>
      </c>
      <c r="E46" s="8">
        <f>D46^2</f>
        <v/>
      </c>
      <c r="F46" s="9">
        <f>(B46-AVERAGE($B$5:$B$51))^2</f>
        <v/>
      </c>
    </row>
    <row r="47">
      <c r="A47" s="4">
        <f>Datos!B47</f>
        <v/>
      </c>
      <c r="B47" s="5">
        <f>Datos!D47</f>
        <v/>
      </c>
      <c r="C47" s="5">
        <f>$I$5*A47^3 + $I$6*A47^2 + $I$7*A47 + $I$8</f>
        <v/>
      </c>
      <c r="D47" s="8">
        <f>B47-C47</f>
        <v/>
      </c>
      <c r="E47" s="8">
        <f>D47^2</f>
        <v/>
      </c>
      <c r="F47" s="9">
        <f>(B47-AVERAGE($B$5:$B$51))^2</f>
        <v/>
      </c>
    </row>
    <row r="48">
      <c r="A48" s="4">
        <f>Datos!B48</f>
        <v/>
      </c>
      <c r="B48" s="5">
        <f>Datos!D48</f>
        <v/>
      </c>
      <c r="C48" s="5">
        <f>$I$5*A48^3 + $I$6*A48^2 + $I$7*A48 + $I$8</f>
        <v/>
      </c>
      <c r="D48" s="8">
        <f>B48-C48</f>
        <v/>
      </c>
      <c r="E48" s="8">
        <f>D48^2</f>
        <v/>
      </c>
      <c r="F48" s="9">
        <f>(B48-AVERAGE($B$5:$B$51))^2</f>
        <v/>
      </c>
    </row>
    <row r="49">
      <c r="A49" s="4">
        <f>Datos!B49</f>
        <v/>
      </c>
      <c r="B49" s="5">
        <f>Datos!D49</f>
        <v/>
      </c>
      <c r="C49" s="5">
        <f>$I$5*A49^3 + $I$6*A49^2 + $I$7*A49 + $I$8</f>
        <v/>
      </c>
      <c r="D49" s="8">
        <f>B49-C49</f>
        <v/>
      </c>
      <c r="E49" s="8">
        <f>D49^2</f>
        <v/>
      </c>
      <c r="F49" s="9">
        <f>(B49-AVERAGE($B$5:$B$51))^2</f>
        <v/>
      </c>
    </row>
    <row r="50">
      <c r="A50" s="4">
        <f>Datos!B50</f>
        <v/>
      </c>
      <c r="B50" s="5">
        <f>Datos!D50</f>
        <v/>
      </c>
      <c r="C50" s="5">
        <f>$I$5*A50^3 + $I$6*A50^2 + $I$7*A50 + $I$8</f>
        <v/>
      </c>
      <c r="D50" s="8">
        <f>B50-C50</f>
        <v/>
      </c>
      <c r="E50" s="8">
        <f>D50^2</f>
        <v/>
      </c>
      <c r="F50" s="9">
        <f>(B50-AVERAGE($B$5:$B$51))^2</f>
        <v/>
      </c>
    </row>
    <row r="51">
      <c r="A51" s="4">
        <f>Datos!B51</f>
        <v/>
      </c>
      <c r="B51" s="5">
        <f>Datos!D51</f>
        <v/>
      </c>
      <c r="C51" s="5">
        <f>$I$5*A51^3 + $I$6*A51^2 + $I$7*A51 + $I$8</f>
        <v/>
      </c>
      <c r="D51" s="8">
        <f>B51-C51</f>
        <v/>
      </c>
      <c r="E51" s="8">
        <f>D51^2</f>
        <v/>
      </c>
      <c r="F51" s="9">
        <f>(B51-AVERAGE($B$5:$B$51))^2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15" customWidth="1" min="4" max="4"/>
    <col width="91" customWidth="1" min="5" max="5"/>
    <col width="91" customWidth="1" min="6" max="6"/>
    <col width="13" customWidth="1" min="7" max="7"/>
    <col width="26" customWidth="1" min="8" max="8"/>
  </cols>
  <sheetData>
    <row r="1">
      <c r="A1" s="1" t="inlineStr">
        <is>
          <t>BÚSQUEDA DE RAÍCES: MÉTODO DE BISECCIÓN (HITO DE 100 MILLONES)</t>
        </is>
      </c>
    </row>
    <row r="2">
      <c r="A2" s="2" t="inlineStr">
        <is>
          <t>Ecuación: f(t) = S(t) - 100 = 0 | Intervalo inicial: [35, 36] | Criterio de parada: |Ea%| &lt; 1e-4 %</t>
        </is>
      </c>
    </row>
    <row r="3"/>
    <row r="4">
      <c r="A4" s="3" t="inlineStr">
        <is>
          <t>Iter (i)</t>
        </is>
      </c>
      <c r="B4" s="3" t="inlineStr">
        <is>
          <t>a</t>
        </is>
      </c>
      <c r="C4" s="3" t="inlineStr">
        <is>
          <t>b</t>
        </is>
      </c>
      <c r="D4" s="3" t="inlineStr">
        <is>
          <t>xr</t>
        </is>
      </c>
      <c r="E4" s="3" t="inlineStr">
        <is>
          <t>f(a)</t>
        </is>
      </c>
      <c r="F4" s="3" t="inlineStr">
        <is>
          <t>f(xr)</t>
        </is>
      </c>
      <c r="G4" s="3" t="inlineStr">
        <is>
          <t>f(a)*f(xr)</t>
        </is>
      </c>
      <c r="H4" s="3" t="inlineStr">
        <is>
          <t>|Ea%|</t>
        </is>
      </c>
    </row>
    <row r="5">
      <c r="A5" s="4" t="n">
        <v>1</v>
      </c>
      <c r="B5" s="15" t="n">
        <v>35</v>
      </c>
      <c r="C5" s="15" t="n">
        <v>36</v>
      </c>
      <c r="D5" s="16">
        <f>(B5+C5)/2</f>
        <v/>
      </c>
      <c r="E5" s="8">
        <f>Regresion!$I$5*B5^3 + Regresion!$I$6*B5^2 + Regresion!$I$7*B5 + Regresion!$I$8 - 100</f>
        <v/>
      </c>
      <c r="F5" s="8">
        <f>Regresion!$I$5*D5^3 + Regresion!$I$6*D5^2 + Regresion!$I$7*D5 + Regresion!$I$8 - 100</f>
        <v/>
      </c>
      <c r="G5" s="16">
        <f>E5*F5</f>
        <v/>
      </c>
      <c r="H5" s="16" t="n">
        <v>100</v>
      </c>
    </row>
    <row r="6">
      <c r="A6" s="4" t="n">
        <v>2</v>
      </c>
      <c r="B6" s="15">
        <f>IF(G5&lt;0, B5, D5)</f>
        <v/>
      </c>
      <c r="C6" s="15">
        <f>IF(G5&lt;0, D5, C5)</f>
        <v/>
      </c>
      <c r="D6" s="16">
        <f>(B6+C6)/2</f>
        <v/>
      </c>
      <c r="E6" s="8">
        <f>Regresion!$I$5*B6^3 + Regresion!$I$6*B6^2 + Regresion!$I$7*B6 + Regresion!$I$8 - 100</f>
        <v/>
      </c>
      <c r="F6" s="8">
        <f>Regresion!$I$5*D6^3 + Regresion!$I$6*D6^2 + Regresion!$I$7*D6 + Regresion!$I$8 - 100</f>
        <v/>
      </c>
      <c r="G6" s="16">
        <f>E6*F6</f>
        <v/>
      </c>
      <c r="H6" s="16">
        <f>ABS((D6-D5)/D6)*100</f>
        <v/>
      </c>
    </row>
    <row r="7">
      <c r="A7" s="4" t="n">
        <v>3</v>
      </c>
      <c r="B7" s="15">
        <f>IF(G6&lt;0, B6, D6)</f>
        <v/>
      </c>
      <c r="C7" s="15">
        <f>IF(G6&lt;0, D6, C6)</f>
        <v/>
      </c>
      <c r="D7" s="16">
        <f>(B7+C7)/2</f>
        <v/>
      </c>
      <c r="E7" s="8">
        <f>Regresion!$I$5*B7^3 + Regresion!$I$6*B7^2 + Regresion!$I$7*B7 + Regresion!$I$8 - 100</f>
        <v/>
      </c>
      <c r="F7" s="8">
        <f>Regresion!$I$5*D7^3 + Regresion!$I$6*D7^2 + Regresion!$I$7*D7 + Regresion!$I$8 - 100</f>
        <v/>
      </c>
      <c r="G7" s="16">
        <f>E7*F7</f>
        <v/>
      </c>
      <c r="H7" s="16">
        <f>ABS((D7-D6)/D7)*100</f>
        <v/>
      </c>
    </row>
    <row r="8">
      <c r="A8" s="4" t="n">
        <v>4</v>
      </c>
      <c r="B8" s="15">
        <f>IF(G7&lt;0, B7, D7)</f>
        <v/>
      </c>
      <c r="C8" s="15">
        <f>IF(G7&lt;0, D7, C7)</f>
        <v/>
      </c>
      <c r="D8" s="16">
        <f>(B8+C8)/2</f>
        <v/>
      </c>
      <c r="E8" s="8">
        <f>Regresion!$I$5*B8^3 + Regresion!$I$6*B8^2 + Regresion!$I$7*B8 + Regresion!$I$8 - 100</f>
        <v/>
      </c>
      <c r="F8" s="8">
        <f>Regresion!$I$5*D8^3 + Regresion!$I$6*D8^2 + Regresion!$I$7*D8 + Regresion!$I$8 - 100</f>
        <v/>
      </c>
      <c r="G8" s="16">
        <f>E8*F8</f>
        <v/>
      </c>
      <c r="H8" s="16">
        <f>ABS((D8-D7)/D8)*100</f>
        <v/>
      </c>
    </row>
    <row r="9">
      <c r="A9" s="4" t="n">
        <v>5</v>
      </c>
      <c r="B9" s="15">
        <f>IF(G8&lt;0, B8, D8)</f>
        <v/>
      </c>
      <c r="C9" s="15">
        <f>IF(G8&lt;0, D8, C8)</f>
        <v/>
      </c>
      <c r="D9" s="16">
        <f>(B9+C9)/2</f>
        <v/>
      </c>
      <c r="E9" s="8">
        <f>Regresion!$I$5*B9^3 + Regresion!$I$6*B9^2 + Regresion!$I$7*B9 + Regresion!$I$8 - 100</f>
        <v/>
      </c>
      <c r="F9" s="8">
        <f>Regresion!$I$5*D9^3 + Regresion!$I$6*D9^2 + Regresion!$I$7*D9 + Regresion!$I$8 - 100</f>
        <v/>
      </c>
      <c r="G9" s="16">
        <f>E9*F9</f>
        <v/>
      </c>
      <c r="H9" s="16">
        <f>ABS((D9-D8)/D9)*100</f>
        <v/>
      </c>
    </row>
    <row r="10">
      <c r="A10" s="4" t="n">
        <v>6</v>
      </c>
      <c r="B10" s="15">
        <f>IF(G9&lt;0, B9, D9)</f>
        <v/>
      </c>
      <c r="C10" s="15">
        <f>IF(G9&lt;0, D9, C9)</f>
        <v/>
      </c>
      <c r="D10" s="16">
        <f>(B10+C10)/2</f>
        <v/>
      </c>
      <c r="E10" s="8">
        <f>Regresion!$I$5*B10^3 + Regresion!$I$6*B10^2 + Regresion!$I$7*B10 + Regresion!$I$8 - 100</f>
        <v/>
      </c>
      <c r="F10" s="8">
        <f>Regresion!$I$5*D10^3 + Regresion!$I$6*D10^2 + Regresion!$I$7*D10 + Regresion!$I$8 - 100</f>
        <v/>
      </c>
      <c r="G10" s="16">
        <f>E10*F10</f>
        <v/>
      </c>
      <c r="H10" s="16">
        <f>ABS((D10-D9)/D10)*100</f>
        <v/>
      </c>
    </row>
    <row r="11">
      <c r="A11" s="4" t="n">
        <v>7</v>
      </c>
      <c r="B11" s="15">
        <f>IF(G10&lt;0, B10, D10)</f>
        <v/>
      </c>
      <c r="C11" s="15">
        <f>IF(G10&lt;0, D10, C10)</f>
        <v/>
      </c>
      <c r="D11" s="16">
        <f>(B11+C11)/2</f>
        <v/>
      </c>
      <c r="E11" s="8">
        <f>Regresion!$I$5*B11^3 + Regresion!$I$6*B11^2 + Regresion!$I$7*B11 + Regresion!$I$8 - 100</f>
        <v/>
      </c>
      <c r="F11" s="8">
        <f>Regresion!$I$5*D11^3 + Regresion!$I$6*D11^2 + Regresion!$I$7*D11 + Regresion!$I$8 - 100</f>
        <v/>
      </c>
      <c r="G11" s="16">
        <f>E11*F11</f>
        <v/>
      </c>
      <c r="H11" s="16">
        <f>ABS((D11-D10)/D11)*100</f>
        <v/>
      </c>
    </row>
    <row r="12">
      <c r="A12" s="4" t="n">
        <v>8</v>
      </c>
      <c r="B12" s="15">
        <f>IF(G11&lt;0, B11, D11)</f>
        <v/>
      </c>
      <c r="C12" s="15">
        <f>IF(G11&lt;0, D11, C11)</f>
        <v/>
      </c>
      <c r="D12" s="16">
        <f>(B12+C12)/2</f>
        <v/>
      </c>
      <c r="E12" s="8">
        <f>Regresion!$I$5*B12^3 + Regresion!$I$6*B12^2 + Regresion!$I$7*B12 + Regresion!$I$8 - 100</f>
        <v/>
      </c>
      <c r="F12" s="8">
        <f>Regresion!$I$5*D12^3 + Regresion!$I$6*D12^2 + Regresion!$I$7*D12 + Regresion!$I$8 - 100</f>
        <v/>
      </c>
      <c r="G12" s="16">
        <f>E12*F12</f>
        <v/>
      </c>
      <c r="H12" s="16">
        <f>ABS((D12-D11)/D12)*100</f>
        <v/>
      </c>
    </row>
    <row r="13">
      <c r="A13" s="4" t="n">
        <v>9</v>
      </c>
      <c r="B13" s="15">
        <f>IF(G12&lt;0, B12, D12)</f>
        <v/>
      </c>
      <c r="C13" s="15">
        <f>IF(G12&lt;0, D12, C12)</f>
        <v/>
      </c>
      <c r="D13" s="16">
        <f>(B13+C13)/2</f>
        <v/>
      </c>
      <c r="E13" s="8">
        <f>Regresion!$I$5*B13^3 + Regresion!$I$6*B13^2 + Regresion!$I$7*B13 + Regresion!$I$8 - 100</f>
        <v/>
      </c>
      <c r="F13" s="8">
        <f>Regresion!$I$5*D13^3 + Regresion!$I$6*D13^2 + Regresion!$I$7*D13 + Regresion!$I$8 - 100</f>
        <v/>
      </c>
      <c r="G13" s="16">
        <f>E13*F13</f>
        <v/>
      </c>
      <c r="H13" s="16">
        <f>ABS((D13-D12)/D13)*100</f>
        <v/>
      </c>
    </row>
    <row r="14">
      <c r="A14" s="4" t="n">
        <v>10</v>
      </c>
      <c r="B14" s="15">
        <f>IF(G13&lt;0, B13, D13)</f>
        <v/>
      </c>
      <c r="C14" s="15">
        <f>IF(G13&lt;0, D13, C13)</f>
        <v/>
      </c>
      <c r="D14" s="16">
        <f>(B14+C14)/2</f>
        <v/>
      </c>
      <c r="E14" s="8">
        <f>Regresion!$I$5*B14^3 + Regresion!$I$6*B14^2 + Regresion!$I$7*B14 + Regresion!$I$8 - 100</f>
        <v/>
      </c>
      <c r="F14" s="8">
        <f>Regresion!$I$5*D14^3 + Regresion!$I$6*D14^2 + Regresion!$I$7*D14 + Regresion!$I$8 - 100</f>
        <v/>
      </c>
      <c r="G14" s="16">
        <f>E14*F14</f>
        <v/>
      </c>
      <c r="H14" s="16">
        <f>ABS((D14-D13)/D14)*100</f>
        <v/>
      </c>
    </row>
    <row r="15">
      <c r="A15" s="4" t="n">
        <v>11</v>
      </c>
      <c r="B15" s="15">
        <f>IF(G14&lt;0, B14, D14)</f>
        <v/>
      </c>
      <c r="C15" s="15">
        <f>IF(G14&lt;0, D14, C14)</f>
        <v/>
      </c>
      <c r="D15" s="16">
        <f>(B15+C15)/2</f>
        <v/>
      </c>
      <c r="E15" s="8">
        <f>Regresion!$I$5*B15^3 + Regresion!$I$6*B15^2 + Regresion!$I$7*B15 + Regresion!$I$8 - 100</f>
        <v/>
      </c>
      <c r="F15" s="8">
        <f>Regresion!$I$5*D15^3 + Regresion!$I$6*D15^2 + Regresion!$I$7*D15 + Regresion!$I$8 - 100</f>
        <v/>
      </c>
      <c r="G15" s="16">
        <f>E15*F15</f>
        <v/>
      </c>
      <c r="H15" s="16">
        <f>ABS((D15-D14)/D15)*100</f>
        <v/>
      </c>
    </row>
    <row r="16">
      <c r="A16" s="4" t="n">
        <v>12</v>
      </c>
      <c r="B16" s="15">
        <f>IF(G15&lt;0, B15, D15)</f>
        <v/>
      </c>
      <c r="C16" s="15">
        <f>IF(G15&lt;0, D15, C15)</f>
        <v/>
      </c>
      <c r="D16" s="16">
        <f>(B16+C16)/2</f>
        <v/>
      </c>
      <c r="E16" s="8">
        <f>Regresion!$I$5*B16^3 + Regresion!$I$6*B16^2 + Regresion!$I$7*B16 + Regresion!$I$8 - 100</f>
        <v/>
      </c>
      <c r="F16" s="8">
        <f>Regresion!$I$5*D16^3 + Regresion!$I$6*D16^2 + Regresion!$I$7*D16 + Regresion!$I$8 - 100</f>
        <v/>
      </c>
      <c r="G16" s="16">
        <f>E16*F16</f>
        <v/>
      </c>
      <c r="H16" s="16">
        <f>ABS((D16-D15)/D16)*100</f>
        <v/>
      </c>
    </row>
    <row r="17">
      <c r="A17" s="4" t="n">
        <v>13</v>
      </c>
      <c r="B17" s="15">
        <f>IF(G16&lt;0, B16, D16)</f>
        <v/>
      </c>
      <c r="C17" s="15">
        <f>IF(G16&lt;0, D16, C16)</f>
        <v/>
      </c>
      <c r="D17" s="16">
        <f>(B17+C17)/2</f>
        <v/>
      </c>
      <c r="E17" s="8">
        <f>Regresion!$I$5*B17^3 + Regresion!$I$6*B17^2 + Regresion!$I$7*B17 + Regresion!$I$8 - 100</f>
        <v/>
      </c>
      <c r="F17" s="8">
        <f>Regresion!$I$5*D17^3 + Regresion!$I$6*D17^2 + Regresion!$I$7*D17 + Regresion!$I$8 - 100</f>
        <v/>
      </c>
      <c r="G17" s="16">
        <f>E17*F17</f>
        <v/>
      </c>
      <c r="H17" s="16">
        <f>ABS((D17-D16)/D17)*100</f>
        <v/>
      </c>
    </row>
    <row r="18">
      <c r="A18" s="4" t="n">
        <v>14</v>
      </c>
      <c r="B18" s="15">
        <f>IF(G17&lt;0, B17, D17)</f>
        <v/>
      </c>
      <c r="C18" s="15">
        <f>IF(G17&lt;0, D17, C17)</f>
        <v/>
      </c>
      <c r="D18" s="16">
        <f>(B18+C18)/2</f>
        <v/>
      </c>
      <c r="E18" s="8">
        <f>Regresion!$I$5*B18^3 + Regresion!$I$6*B18^2 + Regresion!$I$7*B18 + Regresion!$I$8 - 100</f>
        <v/>
      </c>
      <c r="F18" s="8">
        <f>Regresion!$I$5*D18^3 + Regresion!$I$6*D18^2 + Regresion!$I$7*D18 + Regresion!$I$8 - 100</f>
        <v/>
      </c>
      <c r="G18" s="16">
        <f>E18*F18</f>
        <v/>
      </c>
      <c r="H18" s="16">
        <f>ABS((D18-D17)/D18)*100</f>
        <v/>
      </c>
    </row>
    <row r="19">
      <c r="A19" s="4" t="n">
        <v>15</v>
      </c>
      <c r="B19" s="15">
        <f>IF(G18&lt;0, B18, D18)</f>
        <v/>
      </c>
      <c r="C19" s="15">
        <f>IF(G18&lt;0, D18, C18)</f>
        <v/>
      </c>
      <c r="D19" s="16">
        <f>(B19+C19)/2</f>
        <v/>
      </c>
      <c r="E19" s="8">
        <f>Regresion!$I$5*B19^3 + Regresion!$I$6*B19^2 + Regresion!$I$7*B19 + Regresion!$I$8 - 100</f>
        <v/>
      </c>
      <c r="F19" s="8">
        <f>Regresion!$I$5*D19^3 + Regresion!$I$6*D19^2 + Regresion!$I$7*D19 + Regresion!$I$8 - 100</f>
        <v/>
      </c>
      <c r="G19" s="16">
        <f>E19*F19</f>
        <v/>
      </c>
      <c r="H19" s="16">
        <f>ABS((D19-D18)/D19)*100</f>
        <v/>
      </c>
    </row>
    <row r="20"/>
    <row r="21">
      <c r="A21" s="17" t="inlineStr">
        <is>
          <t>Resultado Bisección:</t>
        </is>
      </c>
      <c r="B21" s="17" t="inlineStr">
        <is>
          <t>Raíz t* =</t>
        </is>
      </c>
      <c r="C21" s="18">
        <f>D19</f>
        <v/>
      </c>
    </row>
    <row r="22">
      <c r="B22" s="17" t="inlineStr">
        <is>
          <t>Iteraciones =</t>
        </is>
      </c>
      <c r="C22" s="17" t="n">
        <v>15</v>
      </c>
    </row>
    <row r="23">
      <c r="B23" s="17" t="inlineStr">
        <is>
          <t>|Ea%| final =</t>
        </is>
      </c>
      <c r="C23" s="18">
        <f>H19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83" customWidth="1" min="2" max="2"/>
    <col width="88" customWidth="1" min="3" max="3"/>
    <col width="64" customWidth="1" min="4" max="4"/>
    <col width="14" customWidth="1" min="5" max="5"/>
    <col width="23" customWidth="1" min="6" max="6"/>
  </cols>
  <sheetData>
    <row r="1">
      <c r="A1" s="1" t="inlineStr">
        <is>
          <t>BÚSQUEDA DE RAÍCES: MÉTODO DE NEWTON-RAPHSON (HITO DE 100 MILLONES)</t>
        </is>
      </c>
    </row>
    <row r="2">
      <c r="A2" s="2" t="inlineStr">
        <is>
          <t>Fórmula: x_{i+1} = x_i - f(x_i)/f'(x_i) | Valor inicial: t0 = 35.00 | Tol: |Ea%| &lt; 1e-4 %</t>
        </is>
      </c>
    </row>
    <row r="3"/>
    <row r="4">
      <c r="A4" s="3" t="inlineStr">
        <is>
          <t>Iter (i)</t>
        </is>
      </c>
      <c r="B4" s="3" t="inlineStr">
        <is>
          <t>x_i</t>
        </is>
      </c>
      <c r="C4" s="3" t="inlineStr">
        <is>
          <t>f(x_i)</t>
        </is>
      </c>
      <c r="D4" s="3" t="inlineStr">
        <is>
          <t>f'(x_i)</t>
        </is>
      </c>
      <c r="E4" s="3" t="inlineStr">
        <is>
          <t>x_{i+1}</t>
        </is>
      </c>
      <c r="F4" s="3" t="inlineStr">
        <is>
          <t>|Ea%|</t>
        </is>
      </c>
    </row>
    <row r="5">
      <c r="A5" s="4" t="n">
        <v>1</v>
      </c>
      <c r="B5" s="16" t="n">
        <v>35</v>
      </c>
      <c r="C5" s="16">
        <f>Regresion!$I$5*B5^3 + Regresion!$I$6*B5^2 + Regresion!$I$7*B5 + Regresion!$I$8 - 100</f>
        <v/>
      </c>
      <c r="D5" s="16">
        <f>3*Regresion!$I$5*B5^2 + 2*Regresion!$I$6*B5 + Regresion!$I$7</f>
        <v/>
      </c>
      <c r="E5" s="16">
        <f>B5-(C5/D5)</f>
        <v/>
      </c>
      <c r="F5" s="16">
        <f>ABS((E5-B5)/E5)*100</f>
        <v/>
      </c>
    </row>
    <row r="6">
      <c r="A6" s="4" t="n">
        <v>2</v>
      </c>
      <c r="B6" s="16">
        <f>E5</f>
        <v/>
      </c>
      <c r="C6" s="16">
        <f>Regresion!$I$5*B6^3 + Regresion!$I$6*B6^2 + Regresion!$I$7*B6 + Regresion!$I$8 - 100</f>
        <v/>
      </c>
      <c r="D6" s="16">
        <f>3*Regresion!$I$5*B6^2 + 2*Regresion!$I$6*B6 + Regresion!$I$7</f>
        <v/>
      </c>
      <c r="E6" s="16">
        <f>B6-(C6/D6)</f>
        <v/>
      </c>
      <c r="F6" s="16">
        <f>ABS((E6-B6)/E6)*100</f>
        <v/>
      </c>
    </row>
    <row r="7">
      <c r="A7" s="4" t="n">
        <v>3</v>
      </c>
      <c r="B7" s="16">
        <f>E6</f>
        <v/>
      </c>
      <c r="C7" s="16">
        <f>Regresion!$I$5*B7^3 + Regresion!$I$6*B7^2 + Regresion!$I$7*B7 + Regresion!$I$8 - 100</f>
        <v/>
      </c>
      <c r="D7" s="16">
        <f>3*Regresion!$I$5*B7^2 + 2*Regresion!$I$6*B7 + Regresion!$I$7</f>
        <v/>
      </c>
      <c r="E7" s="16">
        <f>B7-(C7/D7)</f>
        <v/>
      </c>
      <c r="F7" s="16">
        <f>ABS((E7-B7)/E7)*100</f>
        <v/>
      </c>
    </row>
    <row r="8"/>
    <row r="9">
      <c r="A9" s="17" t="inlineStr">
        <is>
          <t>Control con Interpolación Lineal sobre los datos:</t>
        </is>
      </c>
    </row>
    <row r="10">
      <c r="A10" s="17" t="inlineStr">
        <is>
          <t>Raíz modelo Newton t* =</t>
        </is>
      </c>
      <c r="C10" s="18">
        <f>E7</f>
        <v/>
      </c>
    </row>
    <row r="11">
      <c r="A11" s="17" t="inlineStr">
        <is>
          <t>Interpolación lineal t (sem 35 y 36) =</t>
        </is>
      </c>
      <c r="C11" s="19">
        <f>Datos!B40 + (100 - Datos!D40)/(Datos!D41 - Datos!D40)</f>
        <v/>
      </c>
    </row>
    <row r="12">
      <c r="A12" s="17" t="inlineStr">
        <is>
          <t>Diferencia en días = (t_modelo - t_lineal) * 7 =</t>
        </is>
      </c>
      <c r="C12" s="20">
        <f>(C10-C11)*7</f>
        <v/>
      </c>
    </row>
    <row r="13">
      <c r="A13" s="17" t="inlineStr">
        <is>
          <t>Explicación:</t>
        </is>
      </c>
      <c r="B13" s="2" t="inlineStr">
        <is>
          <t>La discrepancia de 2.75 días se debe al error propio de ajuste (Sy/x = ±0.93 M).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21" customWidth="1" min="3" max="3"/>
    <col width="21" customWidth="1" min="4" max="4"/>
    <col width="18" customWidth="1" min="5" max="5"/>
    <col width="23" customWidth="1" min="6" max="6"/>
    <col width="66" customWidth="1" min="7" max="7"/>
    <col width="11" customWidth="1" min="8" max="8"/>
    <col width="37" customWidth="1" min="9" max="9"/>
    <col width="64" customWidth="1" min="10" max="10"/>
  </cols>
  <sheetData>
    <row r="1">
      <c r="A1" s="1" t="inlineStr">
        <is>
          <t>DIFERENCIACIÓN NUMÉRICA: RITMO SEMANAL DE STREAMS (dS/dt)</t>
        </is>
      </c>
    </row>
    <row r="2">
      <c r="A2" s="2" t="inlineStr">
        <is>
          <t>Fórmulas de diferencias finitas con paso h = 1 semana vs. Derivada del modelo S'(t) (en M streams/sem)</t>
        </is>
      </c>
    </row>
    <row r="3"/>
    <row r="4">
      <c r="A4" s="3" t="inlineStr">
        <is>
          <t>Semana (t)</t>
        </is>
      </c>
      <c r="B4" s="3" t="inlineStr">
        <is>
          <t>Fecha de Cierre</t>
        </is>
      </c>
      <c r="C4" s="3" t="inlineStr">
        <is>
          <t>S(t) Acumulado (M)</t>
        </is>
      </c>
      <c r="D4" s="3" t="inlineStr">
        <is>
          <t>Dif. Adelante O(h)</t>
        </is>
      </c>
      <c r="E4" s="3" t="inlineStr">
        <is>
          <t>Dif. Atrás O(h)</t>
        </is>
      </c>
      <c r="F4" s="3" t="inlineStr">
        <is>
          <t>Dif. Centrada O(h^2)</t>
        </is>
      </c>
      <c r="G4" s="3" t="inlineStr">
        <is>
          <t>Derivada del modelo S'(t)</t>
        </is>
      </c>
      <c r="I4" s="7" t="inlineStr">
        <is>
          <t>Análisis del Pico de Demanda</t>
        </is>
      </c>
      <c r="J4" s="7" t="inlineStr">
        <is>
          <t>Valor</t>
        </is>
      </c>
    </row>
    <row r="5">
      <c r="A5" s="4">
        <f>Datos!B5</f>
        <v/>
      </c>
      <c r="B5" s="4">
        <f>Datos!A5</f>
        <v/>
      </c>
      <c r="C5" s="5">
        <f>Datos!D5</f>
        <v/>
      </c>
      <c r="D5" s="5">
        <f>(C6-C5)/1</f>
        <v/>
      </c>
      <c r="E5" s="4" t="inlineStr">
        <is>
          <t>---</t>
        </is>
      </c>
      <c r="F5" s="4" t="inlineStr">
        <is>
          <t>---</t>
        </is>
      </c>
      <c r="G5" s="5">
        <f>3*Regresion!$I$5*A5^2 + 2*Regresion!$I$6*A5 + Regresion!$I$7</f>
        <v/>
      </c>
      <c r="I5" s="10" t="inlineStr">
        <is>
          <t>Pico del Modelo: t_pico (S''=0)</t>
        </is>
      </c>
      <c r="J5" s="21">
        <f>-Regresion!$I$6/(3*Regresion!$I$5)</f>
        <v/>
      </c>
    </row>
    <row r="6">
      <c r="A6" s="4">
        <f>Datos!B6</f>
        <v/>
      </c>
      <c r="B6" s="4">
        <f>Datos!A6</f>
        <v/>
      </c>
      <c r="C6" s="5">
        <f>Datos!D6</f>
        <v/>
      </c>
      <c r="D6" s="5">
        <f>(C7-C6)/1</f>
        <v/>
      </c>
      <c r="E6" s="5">
        <f>(C6-C5)/1</f>
        <v/>
      </c>
      <c r="F6" s="5">
        <f>(C7-C5)/2</f>
        <v/>
      </c>
      <c r="G6" s="5">
        <f>3*Regresion!$I$5*A6^2 + 2*Regresion!$I$6*A6 + Regresion!$I$7</f>
        <v/>
      </c>
      <c r="I6" s="10" t="inlineStr">
        <is>
          <t>Ritmo pico del modelo S'(t_pico)</t>
        </is>
      </c>
      <c r="J6" s="22">
        <f>3*Regresion!$I$5*J5^2 + 2*Regresion!$I$6*J5 + Regresion!$I$7</f>
        <v/>
      </c>
    </row>
    <row r="7">
      <c r="A7" s="4">
        <f>Datos!B7</f>
        <v/>
      </c>
      <c r="B7" s="4">
        <f>Datos!A7</f>
        <v/>
      </c>
      <c r="C7" s="5">
        <f>Datos!D7</f>
        <v/>
      </c>
      <c r="D7" s="5">
        <f>(C8-C7)/1</f>
        <v/>
      </c>
      <c r="E7" s="5">
        <f>(C7-C6)/1</f>
        <v/>
      </c>
      <c r="F7" s="5">
        <f>(C8-C6)/2</f>
        <v/>
      </c>
      <c r="G7" s="5">
        <f>3*Regresion!$I$5*A7^2 + 2*Regresion!$I$6*A7 + Regresion!$I$7</f>
        <v/>
      </c>
      <c r="I7" s="10" t="inlineStr">
        <is>
          <t>Pico en los Datos Reales: Semana t</t>
        </is>
      </c>
      <c r="J7" s="12" t="n">
        <v>26</v>
      </c>
    </row>
    <row r="8">
      <c r="A8" s="4">
        <f>Datos!B8</f>
        <v/>
      </c>
      <c r="B8" s="4">
        <f>Datos!A8</f>
        <v/>
      </c>
      <c r="C8" s="5">
        <f>Datos!D8</f>
        <v/>
      </c>
      <c r="D8" s="5">
        <f>(C9-C8)/1</f>
        <v/>
      </c>
      <c r="E8" s="5">
        <f>(C8-C7)/1</f>
        <v/>
      </c>
      <c r="F8" s="5">
        <f>(C9-C7)/2</f>
        <v/>
      </c>
      <c r="G8" s="5">
        <f>3*Regresion!$I$5*A8^2 + 2*Regresion!$I$6*A8 + Regresion!$I$7</f>
        <v/>
      </c>
      <c r="I8" s="10" t="inlineStr">
        <is>
          <t>Fecha del pico real</t>
        </is>
      </c>
      <c r="J8" s="23" t="inlineStr">
        <is>
          <t>2023-07-27</t>
        </is>
      </c>
    </row>
    <row r="9">
      <c r="A9" s="4">
        <f>Datos!B9</f>
        <v/>
      </c>
      <c r="B9" s="4">
        <f>Datos!A9</f>
        <v/>
      </c>
      <c r="C9" s="5">
        <f>Datos!D9</f>
        <v/>
      </c>
      <c r="D9" s="5">
        <f>(C10-C9)/1</f>
        <v/>
      </c>
      <c r="E9" s="5">
        <f>(C9-C8)/1</f>
        <v/>
      </c>
      <c r="F9" s="5">
        <f>(C10-C8)/2</f>
        <v/>
      </c>
      <c r="G9" s="5">
        <f>3*Regresion!$I$5*A9^2 + 2*Regresion!$I$6*A9 + Regresion!$I$7</f>
        <v/>
      </c>
      <c r="I9" s="10" t="inlineStr">
        <is>
          <t>Streams semanales en el pico real</t>
        </is>
      </c>
      <c r="J9" s="24" t="n">
        <v>4.171</v>
      </c>
    </row>
    <row r="10">
      <c r="A10" s="4">
        <f>Datos!B10</f>
        <v/>
      </c>
      <c r="B10" s="4">
        <f>Datos!A10</f>
        <v/>
      </c>
      <c r="C10" s="5">
        <f>Datos!D10</f>
        <v/>
      </c>
      <c r="D10" s="5">
        <f>(C11-C10)/1</f>
        <v/>
      </c>
      <c r="E10" s="5">
        <f>(C10-C9)/1</f>
        <v/>
      </c>
      <c r="F10" s="5">
        <f>(C11-C9)/2</f>
        <v/>
      </c>
      <c r="G10" s="5">
        <f>3*Regresion!$I$5*A10^2 + 2*Regresion!$I$6*A10 + Regresion!$I$7</f>
        <v/>
      </c>
      <c r="I10" s="10" t="inlineStr">
        <is>
          <t>Efecto de suavizado del modelo</t>
        </is>
      </c>
      <c r="J10" s="23" t="inlineStr">
        <is>
          <t>Desplaza el pico ~4 sem y lo achata</t>
        </is>
      </c>
    </row>
    <row r="11">
      <c r="A11" s="4">
        <f>Datos!B11</f>
        <v/>
      </c>
      <c r="B11" s="4">
        <f>Datos!A11</f>
        <v/>
      </c>
      <c r="C11" s="5">
        <f>Datos!D11</f>
        <v/>
      </c>
      <c r="D11" s="5">
        <f>(C12-C11)/1</f>
        <v/>
      </c>
      <c r="E11" s="5">
        <f>(C11-C10)/1</f>
        <v/>
      </c>
      <c r="F11" s="5">
        <f>(C12-C10)/2</f>
        <v/>
      </c>
      <c r="G11" s="5">
        <f>3*Regresion!$I$5*A11^2 + 2*Regresion!$I$6*A11 + Regresion!$I$7</f>
        <v/>
      </c>
    </row>
    <row r="12">
      <c r="A12" s="4">
        <f>Datos!B12</f>
        <v/>
      </c>
      <c r="B12" s="4">
        <f>Datos!A12</f>
        <v/>
      </c>
      <c r="C12" s="5">
        <f>Datos!D12</f>
        <v/>
      </c>
      <c r="D12" s="5">
        <f>(C13-C12)/1</f>
        <v/>
      </c>
      <c r="E12" s="5">
        <f>(C12-C11)/1</f>
        <v/>
      </c>
      <c r="F12" s="5">
        <f>(C13-C11)/2</f>
        <v/>
      </c>
      <c r="G12" s="5">
        <f>3*Regresion!$I$5*A12^2 + 2*Regresion!$I$6*A12 + Regresion!$I$7</f>
        <v/>
      </c>
    </row>
    <row r="13">
      <c r="A13" s="4">
        <f>Datos!B13</f>
        <v/>
      </c>
      <c r="B13" s="4">
        <f>Datos!A13</f>
        <v/>
      </c>
      <c r="C13" s="5">
        <f>Datos!D13</f>
        <v/>
      </c>
      <c r="D13" s="5">
        <f>(C14-C13)/1</f>
        <v/>
      </c>
      <c r="E13" s="5">
        <f>(C13-C12)/1</f>
        <v/>
      </c>
      <c r="F13" s="5">
        <f>(C14-C12)/2</f>
        <v/>
      </c>
      <c r="G13" s="5">
        <f>3*Regresion!$I$5*A13^2 + 2*Regresion!$I$6*A13 + Regresion!$I$7</f>
        <v/>
      </c>
    </row>
    <row r="14">
      <c r="A14" s="4">
        <f>Datos!B14</f>
        <v/>
      </c>
      <c r="B14" s="4">
        <f>Datos!A14</f>
        <v/>
      </c>
      <c r="C14" s="5">
        <f>Datos!D14</f>
        <v/>
      </c>
      <c r="D14" s="5">
        <f>(C15-C14)/1</f>
        <v/>
      </c>
      <c r="E14" s="5">
        <f>(C14-C13)/1</f>
        <v/>
      </c>
      <c r="F14" s="5">
        <f>(C15-C13)/2</f>
        <v/>
      </c>
      <c r="G14" s="5">
        <f>3*Regresion!$I$5*A14^2 + 2*Regresion!$I$6*A14 + Regresion!$I$7</f>
        <v/>
      </c>
    </row>
    <row r="15">
      <c r="A15" s="4">
        <f>Datos!B15</f>
        <v/>
      </c>
      <c r="B15" s="4">
        <f>Datos!A15</f>
        <v/>
      </c>
      <c r="C15" s="5">
        <f>Datos!D15</f>
        <v/>
      </c>
      <c r="D15" s="5">
        <f>(C16-C15)/1</f>
        <v/>
      </c>
      <c r="E15" s="5">
        <f>(C15-C14)/1</f>
        <v/>
      </c>
      <c r="F15" s="5">
        <f>(C16-C14)/2</f>
        <v/>
      </c>
      <c r="G15" s="5">
        <f>3*Regresion!$I$5*A15^2 + 2*Regresion!$I$6*A15 + Regresion!$I$7</f>
        <v/>
      </c>
    </row>
    <row r="16">
      <c r="A16" s="4">
        <f>Datos!B16</f>
        <v/>
      </c>
      <c r="B16" s="4">
        <f>Datos!A16</f>
        <v/>
      </c>
      <c r="C16" s="5">
        <f>Datos!D16</f>
        <v/>
      </c>
      <c r="D16" s="5">
        <f>(C17-C16)/1</f>
        <v/>
      </c>
      <c r="E16" s="5">
        <f>(C16-C15)/1</f>
        <v/>
      </c>
      <c r="F16" s="5">
        <f>(C17-C15)/2</f>
        <v/>
      </c>
      <c r="G16" s="5">
        <f>3*Regresion!$I$5*A16^2 + 2*Regresion!$I$6*A16 + Regresion!$I$7</f>
        <v/>
      </c>
    </row>
    <row r="17">
      <c r="A17" s="4">
        <f>Datos!B17</f>
        <v/>
      </c>
      <c r="B17" s="4">
        <f>Datos!A17</f>
        <v/>
      </c>
      <c r="C17" s="5">
        <f>Datos!D17</f>
        <v/>
      </c>
      <c r="D17" s="5">
        <f>(C18-C17)/1</f>
        <v/>
      </c>
      <c r="E17" s="5">
        <f>(C17-C16)/1</f>
        <v/>
      </c>
      <c r="F17" s="5">
        <f>(C18-C16)/2</f>
        <v/>
      </c>
      <c r="G17" s="5">
        <f>3*Regresion!$I$5*A17^2 + 2*Regresion!$I$6*A17 + Regresion!$I$7</f>
        <v/>
      </c>
    </row>
    <row r="18">
      <c r="A18" s="4">
        <f>Datos!B18</f>
        <v/>
      </c>
      <c r="B18" s="4">
        <f>Datos!A18</f>
        <v/>
      </c>
      <c r="C18" s="5">
        <f>Datos!D18</f>
        <v/>
      </c>
      <c r="D18" s="5">
        <f>(C19-C18)/1</f>
        <v/>
      </c>
      <c r="E18" s="5">
        <f>(C18-C17)/1</f>
        <v/>
      </c>
      <c r="F18" s="5">
        <f>(C19-C17)/2</f>
        <v/>
      </c>
      <c r="G18" s="5">
        <f>3*Regresion!$I$5*A18^2 + 2*Regresion!$I$6*A18 + Regresion!$I$7</f>
        <v/>
      </c>
    </row>
    <row r="19">
      <c r="A19" s="4">
        <f>Datos!B19</f>
        <v/>
      </c>
      <c r="B19" s="4">
        <f>Datos!A19</f>
        <v/>
      </c>
      <c r="C19" s="5">
        <f>Datos!D19</f>
        <v/>
      </c>
      <c r="D19" s="5">
        <f>(C20-C19)/1</f>
        <v/>
      </c>
      <c r="E19" s="5">
        <f>(C19-C18)/1</f>
        <v/>
      </c>
      <c r="F19" s="5">
        <f>(C20-C18)/2</f>
        <v/>
      </c>
      <c r="G19" s="5">
        <f>3*Regresion!$I$5*A19^2 + 2*Regresion!$I$6*A19 + Regresion!$I$7</f>
        <v/>
      </c>
    </row>
    <row r="20">
      <c r="A20" s="4">
        <f>Datos!B20</f>
        <v/>
      </c>
      <c r="B20" s="4">
        <f>Datos!A20</f>
        <v/>
      </c>
      <c r="C20" s="5">
        <f>Datos!D20</f>
        <v/>
      </c>
      <c r="D20" s="5">
        <f>(C21-C20)/1</f>
        <v/>
      </c>
      <c r="E20" s="5">
        <f>(C20-C19)/1</f>
        <v/>
      </c>
      <c r="F20" s="5">
        <f>(C21-C19)/2</f>
        <v/>
      </c>
      <c r="G20" s="5">
        <f>3*Regresion!$I$5*A20^2 + 2*Regresion!$I$6*A20 + Regresion!$I$7</f>
        <v/>
      </c>
    </row>
    <row r="21">
      <c r="A21" s="4">
        <f>Datos!B21</f>
        <v/>
      </c>
      <c r="B21" s="4">
        <f>Datos!A21</f>
        <v/>
      </c>
      <c r="C21" s="5">
        <f>Datos!D21</f>
        <v/>
      </c>
      <c r="D21" s="5">
        <f>(C22-C21)/1</f>
        <v/>
      </c>
      <c r="E21" s="5">
        <f>(C21-C20)/1</f>
        <v/>
      </c>
      <c r="F21" s="5">
        <f>(C22-C20)/2</f>
        <v/>
      </c>
      <c r="G21" s="5">
        <f>3*Regresion!$I$5*A21^2 + 2*Regresion!$I$6*A21 + Regresion!$I$7</f>
        <v/>
      </c>
    </row>
    <row r="22">
      <c r="A22" s="4">
        <f>Datos!B22</f>
        <v/>
      </c>
      <c r="B22" s="4">
        <f>Datos!A22</f>
        <v/>
      </c>
      <c r="C22" s="5">
        <f>Datos!D22</f>
        <v/>
      </c>
      <c r="D22" s="5">
        <f>(C23-C22)/1</f>
        <v/>
      </c>
      <c r="E22" s="5">
        <f>(C22-C21)/1</f>
        <v/>
      </c>
      <c r="F22" s="5">
        <f>(C23-C21)/2</f>
        <v/>
      </c>
      <c r="G22" s="5">
        <f>3*Regresion!$I$5*A22^2 + 2*Regresion!$I$6*A22 + Regresion!$I$7</f>
        <v/>
      </c>
    </row>
    <row r="23">
      <c r="A23" s="4">
        <f>Datos!B23</f>
        <v/>
      </c>
      <c r="B23" s="4">
        <f>Datos!A23</f>
        <v/>
      </c>
      <c r="C23" s="5">
        <f>Datos!D23</f>
        <v/>
      </c>
      <c r="D23" s="5">
        <f>(C24-C23)/1</f>
        <v/>
      </c>
      <c r="E23" s="5">
        <f>(C23-C22)/1</f>
        <v/>
      </c>
      <c r="F23" s="5">
        <f>(C24-C22)/2</f>
        <v/>
      </c>
      <c r="G23" s="5">
        <f>3*Regresion!$I$5*A23^2 + 2*Regresion!$I$6*A23 + Regresion!$I$7</f>
        <v/>
      </c>
    </row>
    <row r="24">
      <c r="A24" s="4">
        <f>Datos!B24</f>
        <v/>
      </c>
      <c r="B24" s="4">
        <f>Datos!A24</f>
        <v/>
      </c>
      <c r="C24" s="5">
        <f>Datos!D24</f>
        <v/>
      </c>
      <c r="D24" s="5">
        <f>(C25-C24)/1</f>
        <v/>
      </c>
      <c r="E24" s="5">
        <f>(C24-C23)/1</f>
        <v/>
      </c>
      <c r="F24" s="5">
        <f>(C25-C23)/2</f>
        <v/>
      </c>
      <c r="G24" s="5">
        <f>3*Regresion!$I$5*A24^2 + 2*Regresion!$I$6*A24 + Regresion!$I$7</f>
        <v/>
      </c>
    </row>
    <row r="25">
      <c r="A25" s="4">
        <f>Datos!B25</f>
        <v/>
      </c>
      <c r="B25" s="4">
        <f>Datos!A25</f>
        <v/>
      </c>
      <c r="C25" s="5">
        <f>Datos!D25</f>
        <v/>
      </c>
      <c r="D25" s="5">
        <f>(C26-C25)/1</f>
        <v/>
      </c>
      <c r="E25" s="5">
        <f>(C25-C24)/1</f>
        <v/>
      </c>
      <c r="F25" s="5">
        <f>(C26-C24)/2</f>
        <v/>
      </c>
      <c r="G25" s="5">
        <f>3*Regresion!$I$5*A25^2 + 2*Regresion!$I$6*A25 + Regresion!$I$7</f>
        <v/>
      </c>
    </row>
    <row r="26">
      <c r="A26" s="4">
        <f>Datos!B26</f>
        <v/>
      </c>
      <c r="B26" s="4">
        <f>Datos!A26</f>
        <v/>
      </c>
      <c r="C26" s="5">
        <f>Datos!D26</f>
        <v/>
      </c>
      <c r="D26" s="5">
        <f>(C27-C26)/1</f>
        <v/>
      </c>
      <c r="E26" s="5">
        <f>(C26-C25)/1</f>
        <v/>
      </c>
      <c r="F26" s="5">
        <f>(C27-C25)/2</f>
        <v/>
      </c>
      <c r="G26" s="5">
        <f>3*Regresion!$I$5*A26^2 + 2*Regresion!$I$6*A26 + Regresion!$I$7</f>
        <v/>
      </c>
    </row>
    <row r="27">
      <c r="A27" s="4">
        <f>Datos!B27</f>
        <v/>
      </c>
      <c r="B27" s="4">
        <f>Datos!A27</f>
        <v/>
      </c>
      <c r="C27" s="5">
        <f>Datos!D27</f>
        <v/>
      </c>
      <c r="D27" s="5">
        <f>(C28-C27)/1</f>
        <v/>
      </c>
      <c r="E27" s="5">
        <f>(C27-C26)/1</f>
        <v/>
      </c>
      <c r="F27" s="5">
        <f>(C28-C26)/2</f>
        <v/>
      </c>
      <c r="G27" s="5">
        <f>3*Regresion!$I$5*A27^2 + 2*Regresion!$I$6*A27 + Regresion!$I$7</f>
        <v/>
      </c>
    </row>
    <row r="28">
      <c r="A28" s="4">
        <f>Datos!B28</f>
        <v/>
      </c>
      <c r="B28" s="4">
        <f>Datos!A28</f>
        <v/>
      </c>
      <c r="C28" s="5">
        <f>Datos!D28</f>
        <v/>
      </c>
      <c r="D28" s="5">
        <f>(C29-C28)/1</f>
        <v/>
      </c>
      <c r="E28" s="5">
        <f>(C28-C27)/1</f>
        <v/>
      </c>
      <c r="F28" s="5">
        <f>(C29-C27)/2</f>
        <v/>
      </c>
      <c r="G28" s="5">
        <f>3*Regresion!$I$5*A28^2 + 2*Regresion!$I$6*A28 + Regresion!$I$7</f>
        <v/>
      </c>
    </row>
    <row r="29">
      <c r="A29" s="4">
        <f>Datos!B29</f>
        <v/>
      </c>
      <c r="B29" s="4">
        <f>Datos!A29</f>
        <v/>
      </c>
      <c r="C29" s="5">
        <f>Datos!D29</f>
        <v/>
      </c>
      <c r="D29" s="5">
        <f>(C30-C29)/1</f>
        <v/>
      </c>
      <c r="E29" s="5">
        <f>(C29-C28)/1</f>
        <v/>
      </c>
      <c r="F29" s="5">
        <f>(C30-C28)/2</f>
        <v/>
      </c>
      <c r="G29" s="5">
        <f>3*Regresion!$I$5*A29^2 + 2*Regresion!$I$6*A29 + Regresion!$I$7</f>
        <v/>
      </c>
    </row>
    <row r="30">
      <c r="A30" s="4">
        <f>Datos!B30</f>
        <v/>
      </c>
      <c r="B30" s="4">
        <f>Datos!A30</f>
        <v/>
      </c>
      <c r="C30" s="5">
        <f>Datos!D30</f>
        <v/>
      </c>
      <c r="D30" s="5">
        <f>(C31-C30)/1</f>
        <v/>
      </c>
      <c r="E30" s="5">
        <f>(C30-C29)/1</f>
        <v/>
      </c>
      <c r="F30" s="5">
        <f>(C31-C29)/2</f>
        <v/>
      </c>
      <c r="G30" s="5">
        <f>3*Regresion!$I$5*A30^2 + 2*Regresion!$I$6*A30 + Regresion!$I$7</f>
        <v/>
      </c>
    </row>
    <row r="31">
      <c r="A31" s="4">
        <f>Datos!B31</f>
        <v/>
      </c>
      <c r="B31" s="4">
        <f>Datos!A31</f>
        <v/>
      </c>
      <c r="C31" s="5">
        <f>Datos!D31</f>
        <v/>
      </c>
      <c r="D31" s="5">
        <f>(C32-C31)/1</f>
        <v/>
      </c>
      <c r="E31" s="5">
        <f>(C31-C30)/1</f>
        <v/>
      </c>
      <c r="F31" s="5">
        <f>(C32-C30)/2</f>
        <v/>
      </c>
      <c r="G31" s="5">
        <f>3*Regresion!$I$5*A31^2 + 2*Regresion!$I$6*A31 + Regresion!$I$7</f>
        <v/>
      </c>
    </row>
    <row r="32">
      <c r="A32" s="4">
        <f>Datos!B32</f>
        <v/>
      </c>
      <c r="B32" s="4">
        <f>Datos!A32</f>
        <v/>
      </c>
      <c r="C32" s="5">
        <f>Datos!D32</f>
        <v/>
      </c>
      <c r="D32" s="5">
        <f>(C33-C32)/1</f>
        <v/>
      </c>
      <c r="E32" s="5">
        <f>(C32-C31)/1</f>
        <v/>
      </c>
      <c r="F32" s="5">
        <f>(C33-C31)/2</f>
        <v/>
      </c>
      <c r="G32" s="5">
        <f>3*Regresion!$I$5*A32^2 + 2*Regresion!$I$6*A32 + Regresion!$I$7</f>
        <v/>
      </c>
    </row>
    <row r="33">
      <c r="A33" s="4">
        <f>Datos!B33</f>
        <v/>
      </c>
      <c r="B33" s="4">
        <f>Datos!A33</f>
        <v/>
      </c>
      <c r="C33" s="5">
        <f>Datos!D33</f>
        <v/>
      </c>
      <c r="D33" s="5">
        <f>(C34-C33)/1</f>
        <v/>
      </c>
      <c r="E33" s="5">
        <f>(C33-C32)/1</f>
        <v/>
      </c>
      <c r="F33" s="5">
        <f>(C34-C32)/2</f>
        <v/>
      </c>
      <c r="G33" s="5">
        <f>3*Regresion!$I$5*A33^2 + 2*Regresion!$I$6*A33 + Regresion!$I$7</f>
        <v/>
      </c>
    </row>
    <row r="34">
      <c r="A34" s="4">
        <f>Datos!B34</f>
        <v/>
      </c>
      <c r="B34" s="4">
        <f>Datos!A34</f>
        <v/>
      </c>
      <c r="C34" s="5">
        <f>Datos!D34</f>
        <v/>
      </c>
      <c r="D34" s="5">
        <f>(C35-C34)/1</f>
        <v/>
      </c>
      <c r="E34" s="5">
        <f>(C34-C33)/1</f>
        <v/>
      </c>
      <c r="F34" s="5">
        <f>(C35-C33)/2</f>
        <v/>
      </c>
      <c r="G34" s="5">
        <f>3*Regresion!$I$5*A34^2 + 2*Regresion!$I$6*A34 + Regresion!$I$7</f>
        <v/>
      </c>
    </row>
    <row r="35">
      <c r="A35" s="4">
        <f>Datos!B35</f>
        <v/>
      </c>
      <c r="B35" s="4">
        <f>Datos!A35</f>
        <v/>
      </c>
      <c r="C35" s="5">
        <f>Datos!D35</f>
        <v/>
      </c>
      <c r="D35" s="5">
        <f>(C36-C35)/1</f>
        <v/>
      </c>
      <c r="E35" s="5">
        <f>(C35-C34)/1</f>
        <v/>
      </c>
      <c r="F35" s="5">
        <f>(C36-C34)/2</f>
        <v/>
      </c>
      <c r="G35" s="5">
        <f>3*Regresion!$I$5*A35^2 + 2*Regresion!$I$6*A35 + Regresion!$I$7</f>
        <v/>
      </c>
    </row>
    <row r="36">
      <c r="A36" s="4">
        <f>Datos!B36</f>
        <v/>
      </c>
      <c r="B36" s="4">
        <f>Datos!A36</f>
        <v/>
      </c>
      <c r="C36" s="5">
        <f>Datos!D36</f>
        <v/>
      </c>
      <c r="D36" s="5">
        <f>(C37-C36)/1</f>
        <v/>
      </c>
      <c r="E36" s="5">
        <f>(C36-C35)/1</f>
        <v/>
      </c>
      <c r="F36" s="5">
        <f>(C37-C35)/2</f>
        <v/>
      </c>
      <c r="G36" s="5">
        <f>3*Regresion!$I$5*A36^2 + 2*Regresion!$I$6*A36 + Regresion!$I$7</f>
        <v/>
      </c>
    </row>
    <row r="37">
      <c r="A37" s="4">
        <f>Datos!B37</f>
        <v/>
      </c>
      <c r="B37" s="4">
        <f>Datos!A37</f>
        <v/>
      </c>
      <c r="C37" s="5">
        <f>Datos!D37</f>
        <v/>
      </c>
      <c r="D37" s="5">
        <f>(C38-C37)/1</f>
        <v/>
      </c>
      <c r="E37" s="5">
        <f>(C37-C36)/1</f>
        <v/>
      </c>
      <c r="F37" s="5">
        <f>(C38-C36)/2</f>
        <v/>
      </c>
      <c r="G37" s="5">
        <f>3*Regresion!$I$5*A37^2 + 2*Regresion!$I$6*A37 + Regresion!$I$7</f>
        <v/>
      </c>
    </row>
    <row r="38">
      <c r="A38" s="4">
        <f>Datos!B38</f>
        <v/>
      </c>
      <c r="B38" s="4">
        <f>Datos!A38</f>
        <v/>
      </c>
      <c r="C38" s="5">
        <f>Datos!D38</f>
        <v/>
      </c>
      <c r="D38" s="5">
        <f>(C39-C38)/1</f>
        <v/>
      </c>
      <c r="E38" s="5">
        <f>(C38-C37)/1</f>
        <v/>
      </c>
      <c r="F38" s="5">
        <f>(C39-C37)/2</f>
        <v/>
      </c>
      <c r="G38" s="5">
        <f>3*Regresion!$I$5*A38^2 + 2*Regresion!$I$6*A38 + Regresion!$I$7</f>
        <v/>
      </c>
    </row>
    <row r="39">
      <c r="A39" s="4">
        <f>Datos!B39</f>
        <v/>
      </c>
      <c r="B39" s="4">
        <f>Datos!A39</f>
        <v/>
      </c>
      <c r="C39" s="5">
        <f>Datos!D39</f>
        <v/>
      </c>
      <c r="D39" s="5">
        <f>(C40-C39)/1</f>
        <v/>
      </c>
      <c r="E39" s="5">
        <f>(C39-C38)/1</f>
        <v/>
      </c>
      <c r="F39" s="5">
        <f>(C40-C38)/2</f>
        <v/>
      </c>
      <c r="G39" s="5">
        <f>3*Regresion!$I$5*A39^2 + 2*Regresion!$I$6*A39 + Regresion!$I$7</f>
        <v/>
      </c>
    </row>
    <row r="40">
      <c r="A40" s="4">
        <f>Datos!B40</f>
        <v/>
      </c>
      <c r="B40" s="4">
        <f>Datos!A40</f>
        <v/>
      </c>
      <c r="C40" s="5">
        <f>Datos!D40</f>
        <v/>
      </c>
      <c r="D40" s="5">
        <f>(C41-C40)/1</f>
        <v/>
      </c>
      <c r="E40" s="5">
        <f>(C40-C39)/1</f>
        <v/>
      </c>
      <c r="F40" s="5">
        <f>(C41-C39)/2</f>
        <v/>
      </c>
      <c r="G40" s="5">
        <f>3*Regresion!$I$5*A40^2 + 2*Regresion!$I$6*A40 + Regresion!$I$7</f>
        <v/>
      </c>
    </row>
    <row r="41">
      <c r="A41" s="4">
        <f>Datos!B41</f>
        <v/>
      </c>
      <c r="B41" s="4">
        <f>Datos!A41</f>
        <v/>
      </c>
      <c r="C41" s="5">
        <f>Datos!D41</f>
        <v/>
      </c>
      <c r="D41" s="5">
        <f>(C42-C41)/1</f>
        <v/>
      </c>
      <c r="E41" s="5">
        <f>(C41-C40)/1</f>
        <v/>
      </c>
      <c r="F41" s="5">
        <f>(C42-C40)/2</f>
        <v/>
      </c>
      <c r="G41" s="5">
        <f>3*Regresion!$I$5*A41^2 + 2*Regresion!$I$6*A41 + Regresion!$I$7</f>
        <v/>
      </c>
    </row>
    <row r="42">
      <c r="A42" s="4">
        <f>Datos!B42</f>
        <v/>
      </c>
      <c r="B42" s="4">
        <f>Datos!A42</f>
        <v/>
      </c>
      <c r="C42" s="5">
        <f>Datos!D42</f>
        <v/>
      </c>
      <c r="D42" s="5">
        <f>(C43-C42)/1</f>
        <v/>
      </c>
      <c r="E42" s="5">
        <f>(C42-C41)/1</f>
        <v/>
      </c>
      <c r="F42" s="5">
        <f>(C43-C41)/2</f>
        <v/>
      </c>
      <c r="G42" s="5">
        <f>3*Regresion!$I$5*A42^2 + 2*Regresion!$I$6*A42 + Regresion!$I$7</f>
        <v/>
      </c>
    </row>
    <row r="43">
      <c r="A43" s="4">
        <f>Datos!B43</f>
        <v/>
      </c>
      <c r="B43" s="4">
        <f>Datos!A43</f>
        <v/>
      </c>
      <c r="C43" s="5">
        <f>Datos!D43</f>
        <v/>
      </c>
      <c r="D43" s="5">
        <f>(C44-C43)/1</f>
        <v/>
      </c>
      <c r="E43" s="5">
        <f>(C43-C42)/1</f>
        <v/>
      </c>
      <c r="F43" s="5">
        <f>(C44-C42)/2</f>
        <v/>
      </c>
      <c r="G43" s="5">
        <f>3*Regresion!$I$5*A43^2 + 2*Regresion!$I$6*A43 + Regresion!$I$7</f>
        <v/>
      </c>
    </row>
    <row r="44">
      <c r="A44" s="4">
        <f>Datos!B44</f>
        <v/>
      </c>
      <c r="B44" s="4">
        <f>Datos!A44</f>
        <v/>
      </c>
      <c r="C44" s="5">
        <f>Datos!D44</f>
        <v/>
      </c>
      <c r="D44" s="5">
        <f>(C45-C44)/1</f>
        <v/>
      </c>
      <c r="E44" s="5">
        <f>(C44-C43)/1</f>
        <v/>
      </c>
      <c r="F44" s="5">
        <f>(C45-C43)/2</f>
        <v/>
      </c>
      <c r="G44" s="5">
        <f>3*Regresion!$I$5*A44^2 + 2*Regresion!$I$6*A44 + Regresion!$I$7</f>
        <v/>
      </c>
    </row>
    <row r="45">
      <c r="A45" s="4">
        <f>Datos!B45</f>
        <v/>
      </c>
      <c r="B45" s="4">
        <f>Datos!A45</f>
        <v/>
      </c>
      <c r="C45" s="5">
        <f>Datos!D45</f>
        <v/>
      </c>
      <c r="D45" s="5">
        <f>(C46-C45)/1</f>
        <v/>
      </c>
      <c r="E45" s="5">
        <f>(C45-C44)/1</f>
        <v/>
      </c>
      <c r="F45" s="5">
        <f>(C46-C44)/2</f>
        <v/>
      </c>
      <c r="G45" s="5">
        <f>3*Regresion!$I$5*A45^2 + 2*Regresion!$I$6*A45 + Regresion!$I$7</f>
        <v/>
      </c>
    </row>
    <row r="46">
      <c r="A46" s="4">
        <f>Datos!B46</f>
        <v/>
      </c>
      <c r="B46" s="4">
        <f>Datos!A46</f>
        <v/>
      </c>
      <c r="C46" s="5">
        <f>Datos!D46</f>
        <v/>
      </c>
      <c r="D46" s="5">
        <f>(C47-C46)/1</f>
        <v/>
      </c>
      <c r="E46" s="5">
        <f>(C46-C45)/1</f>
        <v/>
      </c>
      <c r="F46" s="5">
        <f>(C47-C45)/2</f>
        <v/>
      </c>
      <c r="G46" s="5">
        <f>3*Regresion!$I$5*A46^2 + 2*Regresion!$I$6*A46 + Regresion!$I$7</f>
        <v/>
      </c>
    </row>
    <row r="47">
      <c r="A47" s="4">
        <f>Datos!B47</f>
        <v/>
      </c>
      <c r="B47" s="4">
        <f>Datos!A47</f>
        <v/>
      </c>
      <c r="C47" s="5">
        <f>Datos!D47</f>
        <v/>
      </c>
      <c r="D47" s="5">
        <f>(C48-C47)/1</f>
        <v/>
      </c>
      <c r="E47" s="5">
        <f>(C47-C46)/1</f>
        <v/>
      </c>
      <c r="F47" s="5">
        <f>(C48-C46)/2</f>
        <v/>
      </c>
      <c r="G47" s="5">
        <f>3*Regresion!$I$5*A47^2 + 2*Regresion!$I$6*A47 + Regresion!$I$7</f>
        <v/>
      </c>
    </row>
    <row r="48">
      <c r="A48" s="4">
        <f>Datos!B48</f>
        <v/>
      </c>
      <c r="B48" s="4">
        <f>Datos!A48</f>
        <v/>
      </c>
      <c r="C48" s="5">
        <f>Datos!D48</f>
        <v/>
      </c>
      <c r="D48" s="5">
        <f>(C49-C48)/1</f>
        <v/>
      </c>
      <c r="E48" s="5">
        <f>(C48-C47)/1</f>
        <v/>
      </c>
      <c r="F48" s="5">
        <f>(C49-C47)/2</f>
        <v/>
      </c>
      <c r="G48" s="5">
        <f>3*Regresion!$I$5*A48^2 + 2*Regresion!$I$6*A48 + Regresion!$I$7</f>
        <v/>
      </c>
    </row>
    <row r="49">
      <c r="A49" s="4">
        <f>Datos!B49</f>
        <v/>
      </c>
      <c r="B49" s="4">
        <f>Datos!A49</f>
        <v/>
      </c>
      <c r="C49" s="5">
        <f>Datos!D49</f>
        <v/>
      </c>
      <c r="D49" s="5">
        <f>(C50-C49)/1</f>
        <v/>
      </c>
      <c r="E49" s="5">
        <f>(C49-C48)/1</f>
        <v/>
      </c>
      <c r="F49" s="5">
        <f>(C50-C48)/2</f>
        <v/>
      </c>
      <c r="G49" s="5">
        <f>3*Regresion!$I$5*A49^2 + 2*Regresion!$I$6*A49 + Regresion!$I$7</f>
        <v/>
      </c>
    </row>
    <row r="50">
      <c r="A50" s="4">
        <f>Datos!B50</f>
        <v/>
      </c>
      <c r="B50" s="4">
        <f>Datos!A50</f>
        <v/>
      </c>
      <c r="C50" s="5">
        <f>Datos!D50</f>
        <v/>
      </c>
      <c r="D50" s="5">
        <f>(C51-C50)/1</f>
        <v/>
      </c>
      <c r="E50" s="5">
        <f>(C50-C49)/1</f>
        <v/>
      </c>
      <c r="F50" s="5">
        <f>(C51-C49)/2</f>
        <v/>
      </c>
      <c r="G50" s="5">
        <f>3*Regresion!$I$5*A50^2 + 2*Regresion!$I$6*A50 + Regresion!$I$7</f>
        <v/>
      </c>
    </row>
    <row r="51">
      <c r="A51" s="4">
        <f>Datos!B51</f>
        <v/>
      </c>
      <c r="B51" s="4">
        <f>Datos!A51</f>
        <v/>
      </c>
      <c r="C51" s="5">
        <f>Datos!D51</f>
        <v/>
      </c>
      <c r="D51" s="4" t="inlineStr">
        <is>
          <t>---</t>
        </is>
      </c>
      <c r="E51" s="5">
        <f>(C51-C50)/1</f>
        <v/>
      </c>
      <c r="F51" s="4" t="inlineStr">
        <is>
          <t>---</t>
        </is>
      </c>
      <c r="G51" s="5">
        <f>3*Regresion!$I$5*A51^2 + 2*Regresion!$I$6*A51 + Regresion!$I$7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2026-10-22T13:07:36Z</dcterms:created>
  <dcterms:modified xmlns:dcterms="http://purl.org/dc/terms/" xmlns:xsi="http://www.w3.org/2001/XMLSchema-instance" xsi:type="dcterms:W3CDTF">2026-10-22T13:07:36Z</dcterms:modified>
</cp:coreProperties>
</file>